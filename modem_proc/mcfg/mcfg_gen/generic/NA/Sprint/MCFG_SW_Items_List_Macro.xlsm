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9\mcfg.mpss.5.3.Jul19_jo53_2\commercial\MPSS.JO.2.0.c1\Main\modem_proc\mcfg\mcfg_gen\generic\NA\Sprint\"/>
    </mc:Choice>
  </mc:AlternateContent>
  <bookViews>
    <workbookView xWindow="45" yWindow="150" windowWidth="19155" windowHeight="9375" tabRatio="567"/>
  </bookViews>
  <sheets>
    <sheet name="Summary" sheetId="10" r:id="rId1"/>
    <sheet name="Commercial" sheetId="39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785" i="39" l="1"/>
  <c r="F783" i="39" s="1"/>
  <c r="F781" i="39" l="1"/>
  <c r="F777" i="39" l="1"/>
  <c r="F775" i="39" s="1"/>
  <c r="B5" i="10" l="1"/>
  <c r="B13" i="10" l="1"/>
  <c r="F772" i="39" l="1"/>
  <c r="E773" i="39" s="1"/>
  <c r="E770" i="39"/>
  <c r="B4" i="10" l="1"/>
</calcChain>
</file>

<file path=xl/sharedStrings.xml><?xml version="1.0" encoding="utf-8"?>
<sst xmlns="http://schemas.openxmlformats.org/spreadsheetml/2006/main" count="2577" uniqueCount="1325">
  <si>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</si>
  <si>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</si>
  <si>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</si>
  <si>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</si>
  <si>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</si>
  <si>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</si>
  <si>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</si>
  <si>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</si>
  <si>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</si>
  <si>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</si>
  <si>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</si>
  <si>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Slot Cycle Index</t>
  </si>
  <si>
    <t>Mobile CAI Revision Number</t>
  </si>
  <si>
    <t>QNC Enabled Flag</t>
  </si>
  <si>
    <t>Data Service Option Set</t>
  </si>
  <si>
    <t>slot_cycle_index</t>
  </si>
  <si>
    <t>mob_cai_rev</t>
  </si>
  <si>
    <t>data_qnc_enabled</t>
  </si>
  <si>
    <t>data_so_set</t>
  </si>
  <si>
    <t>nam</t>
  </si>
  <si>
    <t>(enabled)</t>
  </si>
  <si>
    <t>(IS-707)</t>
  </si>
  <si>
    <t>Data SCRM Enabled</t>
  </si>
  <si>
    <t>data_scrm_enabled</t>
  </si>
  <si>
    <t>Data Throttle Enabled</t>
  </si>
  <si>
    <t>data_trtl_enabled</t>
  </si>
  <si>
    <t>PZID Hysterisis activation timer</t>
  </si>
  <si>
    <t>hysterisis_activation_timer</t>
  </si>
  <si>
    <t>PZID Hysterisis timer</t>
  </si>
  <si>
    <t>hysterisis_timer</t>
  </si>
  <si>
    <t>0x3C</t>
  </si>
  <si>
    <t>(60 sec)</t>
  </si>
  <si>
    <t>HDR SCP Subtype Custom Config</t>
  </si>
  <si>
    <t>hdrscp_subtype_custom_config</t>
  </si>
  <si>
    <t>Custom Config Is Active</t>
  </si>
  <si>
    <t>(false)</t>
  </si>
  <si>
    <t>HDR SCP Force Release 0 Session Configuration</t>
  </si>
  <si>
    <t>hdrscp_force_rel0_config</t>
  </si>
  <si>
    <t>Authentication Require Password Encryption</t>
  </si>
  <si>
    <t>auth_require_password_encryption</t>
  </si>
  <si>
    <t>OTAPA Enabled</t>
  </si>
  <si>
    <t>otapa_enabled</t>
  </si>
  <si>
    <t>enabled</t>
  </si>
  <si>
    <t>Primary DNS Server</t>
  </si>
  <si>
    <t>primary_dn</t>
  </si>
  <si>
    <t>0x000000000</t>
  </si>
  <si>
    <t>Secondary DNS Server</t>
  </si>
  <si>
    <t>secondary_dn</t>
  </si>
  <si>
    <t>Roaming List Enabled</t>
  </si>
  <si>
    <t>prl_enabled</t>
  </si>
  <si>
    <t>IS2000 CAI Radio Configuration RC Preference</t>
  </si>
  <si>
    <t>pref_for_rc</t>
  </si>
  <si>
    <t>field</t>
  </si>
  <si>
    <t>RC3</t>
  </si>
  <si>
    <t>Voice Privacy</t>
  </si>
  <si>
    <t>voice_priv</t>
  </si>
  <si>
    <t>Silent Redial Enabled</t>
  </si>
  <si>
    <t>srda_enabled</t>
  </si>
  <si>
    <t>Disable</t>
  </si>
  <si>
    <t>mob_term_home</t>
  </si>
  <si>
    <t>enabled[0]</t>
  </si>
  <si>
    <t>enabled[1]</t>
  </si>
  <si>
    <t>mob_term_for_sid</t>
  </si>
  <si>
    <t>mob_term_for_nid</t>
  </si>
  <si>
    <t>Data Service QC Mobile IP</t>
  </si>
  <si>
    <t>ds_qcmip</t>
  </si>
  <si>
    <t>HDR Receive diversity</t>
  </si>
  <si>
    <t>hdr_rx_diversity_ctrl</t>
  </si>
  <si>
    <t>(enable)</t>
  </si>
  <si>
    <t>CDMA Receive diversity</t>
  </si>
  <si>
    <t>cdma_rx_diversity_ctrl</t>
  </si>
  <si>
    <t>OTASP SPC Change</t>
  </si>
  <si>
    <t>spc_change_enabled</t>
  </si>
  <si>
    <t>SMS Service option</t>
  </si>
  <si>
    <t>sms_service_option</t>
  </si>
  <si>
    <t>sms_so</t>
  </si>
  <si>
    <t>DS Mobile IP RRQ If Traffic</t>
  </si>
  <si>
    <t>ds_mip_rrq_if_tfrk</t>
  </si>
  <si>
    <t>Banner</t>
  </si>
  <si>
    <t>banner</t>
  </si>
  <si>
    <t>letters</t>
  </si>
  <si>
    <t>RTRE Config</t>
  </si>
  <si>
    <t>rtre_config</t>
  </si>
  <si>
    <t>SMS MO Retry Period</t>
  </si>
  <si>
    <t>sms_mo_retry_period</t>
  </si>
  <si>
    <t>SMS MO Retry Interval</t>
  </si>
  <si>
    <t>sms_mo_retry_interval</t>
  </si>
  <si>
    <t>SD Configurable Items</t>
  </si>
  <si>
    <t>sd_cfg_items</t>
  </si>
  <si>
    <t xml:space="preserve">nv_sd_cfg_items_s_type.version                  </t>
  </si>
  <si>
    <t xml:space="preserve">nv_sd_cfg_items_s_type.count                        </t>
  </si>
  <si>
    <t xml:space="preserve">nv_sd_cfg_items_s_type.items[0]              </t>
  </si>
  <si>
    <t xml:space="preserve">nv_sd_cfg_items_s_type.items[1]        </t>
  </si>
  <si>
    <t xml:space="preserve">nv_sd_cfg_items_s_type.items[2]                 </t>
  </si>
  <si>
    <t>nv_sd_cfg_items_s_type.items[3]</t>
  </si>
  <si>
    <t xml:space="preserve">nv_sd_cfg_items_s_type.items[4]               </t>
  </si>
  <si>
    <t xml:space="preserve">nv_sd_cfg_items_s_type.items[5]    </t>
  </si>
  <si>
    <t xml:space="preserve">nv_sd_cfg_items_s_type.items[6]       </t>
  </si>
  <si>
    <t xml:space="preserve">nv_sd_cfg_items_s_type.items[7]          </t>
  </si>
  <si>
    <t xml:space="preserve">nv_sd_cfg_items_s_type.items[8]     </t>
  </si>
  <si>
    <t xml:space="preserve">nv_sd_cfg_items_s_type.items[9]     </t>
  </si>
  <si>
    <t>nv_sd_cfg_items_s_type.items[10]</t>
  </si>
  <si>
    <t>nv_sd_cfg_items_s_type.items[11]</t>
  </si>
  <si>
    <t>nv_sd_cfg_items_s_type.items[12]</t>
  </si>
  <si>
    <t>nv_sd_cfg_items_s_type.items[13]</t>
  </si>
  <si>
    <t xml:space="preserve">nv_sd_cfg_items_s_type.items[14]    </t>
  </si>
  <si>
    <t xml:space="preserve">nv_sd_cfg_items_s_type.items[15]    </t>
  </si>
  <si>
    <t xml:space="preserve">nv_sd_cfg_items_s_type.items[16]        </t>
  </si>
  <si>
    <t xml:space="preserve">nv_sd_cfg_items_s_type.items[17]       </t>
  </si>
  <si>
    <t xml:space="preserve">nv_sd_cfg_items_s_type.items[18]       </t>
  </si>
  <si>
    <t xml:space="preserve">nv_sd_cfg_items_s_type.items[19]     </t>
  </si>
  <si>
    <t xml:space="preserve">nv_sd_cfg_items_s_type.items[20]      </t>
  </si>
  <si>
    <t xml:space="preserve">nv_sd_cfg_items_s_type.items[21]         </t>
  </si>
  <si>
    <t xml:space="preserve">nv_sd_cfg_items_s_type.items[22]          </t>
  </si>
  <si>
    <t xml:space="preserve">nv_sd_cfg_items_s_type.items[23]      </t>
  </si>
  <si>
    <t xml:space="preserve">nv_sd_cfg_items_s_type.items[24] </t>
  </si>
  <si>
    <t>Disable CM Call Type</t>
  </si>
  <si>
    <t xml:space="preserve">disable_cm_call_type </t>
  </si>
  <si>
    <t>index</t>
  </si>
  <si>
    <t>ds_mip_retrie</t>
  </si>
  <si>
    <t>ds_mip_retry_int</t>
  </si>
  <si>
    <t>ds_mip_pre_re_rrq_time</t>
  </si>
  <si>
    <t>ds_mip_num_prof</t>
  </si>
  <si>
    <t>ds_mip_2002bis_mn_ha_auth</t>
  </si>
  <si>
    <t>ds_mip_mn_ha_time_delta</t>
  </si>
  <si>
    <t>time_delta</t>
  </si>
  <si>
    <t>ds_mip_enable_prof</t>
  </si>
  <si>
    <t>ds_mip_enabe_prof[0]</t>
  </si>
  <si>
    <t>ds_mip_enabe_prof[1]</t>
  </si>
  <si>
    <t>0x00</t>
  </si>
  <si>
    <t>ds_mip_enabe_prof[2]</t>
  </si>
  <si>
    <t>ds_mip_enabe_prof[3]</t>
  </si>
  <si>
    <t>ds_mip_enabe_prof[4]</t>
  </si>
  <si>
    <t>ds_mip_enabe_prof[5]</t>
  </si>
  <si>
    <t>ds_mip_dmu_pkoid</t>
  </si>
  <si>
    <t>pkoid</t>
  </si>
  <si>
    <t>ds_mip_dmu_mn_auth</t>
  </si>
  <si>
    <t>mn_auth 0</t>
  </si>
  <si>
    <t>mn_auth 1</t>
  </si>
  <si>
    <t>0xB2</t>
  </si>
  <si>
    <t>mn_auth 2</t>
  </si>
  <si>
    <t>0x07</t>
  </si>
  <si>
    <t>DS Mobile IP Deregistration Retries</t>
  </si>
  <si>
    <t>ds_mip_dereg_retries</t>
  </si>
  <si>
    <t>Digital/Analog Mode Preference</t>
  </si>
  <si>
    <t>pref_mode</t>
  </si>
  <si>
    <t>mode</t>
  </si>
  <si>
    <t>Home SID/NID List</t>
  </si>
  <si>
    <t>home_sid_nid</t>
  </si>
  <si>
    <t>pair[0].sid</t>
  </si>
  <si>
    <t>pair[0].nid</t>
  </si>
  <si>
    <t>pair[1].sid</t>
  </si>
  <si>
    <t>pair[1].nid</t>
  </si>
  <si>
    <t>pair[2].sid</t>
  </si>
  <si>
    <t>pair[2].nid</t>
  </si>
  <si>
    <t>pair[3].sid</t>
  </si>
  <si>
    <t>pair[3].nid</t>
  </si>
  <si>
    <t>pair[4].sid</t>
  </si>
  <si>
    <t>pair[4].nid</t>
  </si>
  <si>
    <t>pair[5].sid</t>
  </si>
  <si>
    <t>pair[5].nid</t>
  </si>
  <si>
    <t>pair[6].sid</t>
  </si>
  <si>
    <t>pair[6].nid</t>
  </si>
  <si>
    <t>pair[7].sid</t>
  </si>
  <si>
    <t>pair[7].nid</t>
  </si>
  <si>
    <t>pair[8].sid</t>
  </si>
  <si>
    <t>pair[8].nid</t>
  </si>
  <si>
    <t>pair[9].sid</t>
  </si>
  <si>
    <t>pair[9].nid</t>
  </si>
  <si>
    <t>pair[10].sid</t>
  </si>
  <si>
    <t>pair[10].nid</t>
  </si>
  <si>
    <t>pair[11].sid</t>
  </si>
  <si>
    <t>pair[11].nid</t>
  </si>
  <si>
    <t>pair[12].sid</t>
  </si>
  <si>
    <t>pair[12].nid</t>
  </si>
  <si>
    <t>pair[13].sid</t>
  </si>
  <si>
    <t>pair[13].nid</t>
  </si>
  <si>
    <t>pair[14].sid</t>
  </si>
  <si>
    <t>pair[14].nid</t>
  </si>
  <si>
    <t>pair[15].sid</t>
  </si>
  <si>
    <t>pair[15].nid</t>
  </si>
  <si>
    <t>pair[16].sid</t>
  </si>
  <si>
    <t>pair[16].nid</t>
  </si>
  <si>
    <t>pair[17].sid</t>
  </si>
  <si>
    <t>pair[17].nid</t>
  </si>
  <si>
    <t>pair[18].sid</t>
  </si>
  <si>
    <t>pair[18].nid</t>
  </si>
  <si>
    <t>pair[19].sid</t>
  </si>
  <si>
    <t>pair[19].nid</t>
  </si>
  <si>
    <t>sid_nid_lock</t>
  </si>
  <si>
    <t>pairSidNid[0].sid</t>
  </si>
  <si>
    <t>pairSidNid[0].nid</t>
  </si>
  <si>
    <t>pairSidNid[1].sid</t>
  </si>
  <si>
    <t>pairSidNid[1].nid</t>
  </si>
  <si>
    <t>pairSidNid[2].sid</t>
  </si>
  <si>
    <t>pairSidNid[2].nid</t>
  </si>
  <si>
    <t>pairSidNid[3].sid</t>
  </si>
  <si>
    <t>pairSidNid[3].nid</t>
  </si>
  <si>
    <t>pairSidNid[4].sid</t>
  </si>
  <si>
    <t>pairSidNid[4].nid</t>
  </si>
  <si>
    <t>pairSidNid[5].sid</t>
  </si>
  <si>
    <t>pairSidNid[5].nid</t>
  </si>
  <si>
    <t>pairSidNid[6].sid</t>
  </si>
  <si>
    <t>pairSidNid[6].nid</t>
  </si>
  <si>
    <t>pairSidNid[7].sid</t>
  </si>
  <si>
    <t>pairSidNid[7].nid</t>
  </si>
  <si>
    <t>pairSidNid[8].sid</t>
  </si>
  <si>
    <t>pairSidNid[8].nid</t>
  </si>
  <si>
    <t>pairSidNid[9].sid</t>
  </si>
  <si>
    <t>pairSidNid[9].nid</t>
  </si>
  <si>
    <t>IMSI MCC</t>
  </si>
  <si>
    <t>imsi_mcc</t>
  </si>
  <si>
    <t>0x00d1</t>
  </si>
  <si>
    <t>IMSI 11 12</t>
  </si>
  <si>
    <t>imsi_11_12</t>
  </si>
  <si>
    <t>0x63</t>
  </si>
  <si>
    <t>DS Mobile IP Currently Active Profiles</t>
  </si>
  <si>
    <t>ds_mip_active_prof</t>
  </si>
  <si>
    <t>Data Svcs MIP QC Handdown</t>
  </si>
  <si>
    <t>ds_mip_qc_handdown_to_1x_opt</t>
  </si>
  <si>
    <t>True IMSI-11 12 Digits</t>
  </si>
  <si>
    <t>imsi_t_11_12</t>
  </si>
  <si>
    <t>Roam Preference</t>
  </si>
  <si>
    <t>roam_pref</t>
  </si>
  <si>
    <t>roam</t>
  </si>
  <si>
    <t>0x00FF</t>
  </si>
  <si>
    <t>DS Mobile IP Registration Retries</t>
  </si>
  <si>
    <t>DS Mobile IP Registration Retries Intitial Interval</t>
  </si>
  <si>
    <t>DS Mobile IP Number Profiles</t>
  </si>
  <si>
    <t>DS Mobile IP Enable Profile</t>
  </si>
  <si>
    <t>DS Mobile IP DMU PKOID</t>
  </si>
  <si>
    <t>DS Mobile IP DMU MN Authentication</t>
  </si>
  <si>
    <t>CDMA Negative SID</t>
  </si>
  <si>
    <t>DS Mobile IP RFC2002bis MN HA Auth Calc</t>
  </si>
  <si>
    <t>DS Mobile IP MN Home Agent Timebase Diff</t>
  </si>
  <si>
    <t>DS Mobile IP registration Expiration Attempt Reg</t>
  </si>
  <si>
    <t>CDMA Mobile Term Foreign SID Reg Flag</t>
  </si>
  <si>
    <t>CDMA Mobile Term Foreign NID Reg Flag</t>
  </si>
  <si>
    <t>CDMA Mobile Term SID Reg Flag</t>
  </si>
  <si>
    <t>prl</t>
  </si>
  <si>
    <t>EFS File Description</t>
  </si>
  <si>
    <t>Full Path in EFS Filesystem</t>
  </si>
  <si>
    <t>Comment</t>
  </si>
  <si>
    <t>PRL File Name</t>
  </si>
  <si>
    <t>Date</t>
  </si>
  <si>
    <t>Details</t>
  </si>
  <si>
    <t>CR Details</t>
  </si>
  <si>
    <t>Revision History</t>
  </si>
  <si>
    <t>Revision</t>
  </si>
  <si>
    <t>Protocol Subtypes</t>
  </si>
  <si>
    <t>Broadcast Subtypes</t>
  </si>
  <si>
    <t>Applications Subtypes</t>
  </si>
  <si>
    <t>Verison</t>
  </si>
  <si>
    <t>SMS MO on Traffic Channel</t>
  </si>
  <si>
    <t>sms_mo_on_traffic_channel</t>
  </si>
  <si>
    <t xml:space="preserve">for SO 6, set to 1 </t>
  </si>
  <si>
    <t>SMS MO on Access Channel</t>
  </si>
  <si>
    <t>sms_mo_on_access_channel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</si>
  <si>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</si>
  <si>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</si>
  <si>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</si>
  <si>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</si>
  <si>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</si>
  <si>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</si>
  <si>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</si>
  <si>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</si>
  <si>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</si>
  <si>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</si>
  <si>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</si>
  <si>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</si>
  <si>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Sprint</t>
  </si>
  <si>
    <t>(disabled)</t>
  </si>
  <si>
    <t>0x1E</t>
  </si>
  <si>
    <t>PRL File</t>
  </si>
  <si>
    <t>0x09</t>
  </si>
  <si>
    <t>EFS Filename</t>
  </si>
  <si>
    <t>Sprint MCFG SW Items List</t>
  </si>
  <si>
    <t>Configuration Type</t>
  </si>
  <si>
    <t>RRC Integrity Enabled</t>
  </si>
  <si>
    <t>RRC Ciphering Enabled</t>
  </si>
  <si>
    <t>RRC Fake Security Enabled</t>
  </si>
  <si>
    <t>Ipv6 Enabled</t>
  </si>
  <si>
    <t>NV_IPV6_ENABLED_I</t>
  </si>
  <si>
    <t>HDR SCP force AT configuration</t>
  </si>
  <si>
    <t>UICC Mode</t>
  </si>
  <si>
    <t>LTE NAS temp forbidden PLMN feature</t>
  </si>
  <si>
    <t>/nv/item_files/modem/nas/lte_nas_temp_fplmn_backoff_time</t>
  </si>
  <si>
    <t>0xFFFFFFFF</t>
  </si>
  <si>
    <t>/nv/item_files/data/3gpp2/mpit_enabled</t>
  </si>
  <si>
    <t>/nv/item_files/data/3gpp2/ehrpd_partial_context</t>
  </si>
  <si>
    <t>/nv/item_files/data/3gpp2/ehrpd_to_hrpd_fallback</t>
  </si>
  <si>
    <t>/nv/item_files/ims/IMS_enable</t>
  </si>
  <si>
    <t>efs_item</t>
  </si>
  <si>
    <t>Attach Profile</t>
  </si>
  <si>
    <t>/nv/item_files/modem/nas/exclude_ptmsi_type_field</t>
  </si>
  <si>
    <t>/nv/item_files/modem/mmode/ue_usage_setting</t>
  </si>
  <si>
    <t>Enable SO68 Capability</t>
  </si>
  <si>
    <t>Enable SO73 Capability</t>
  </si>
  <si>
    <t>EHRPD To HRPD Fallback</t>
  </si>
  <si>
    <t>3GPP2 eHRPD Partial Context</t>
  </si>
  <si>
    <t>3GPP2 Max PPP Inactivity Timer Enabled</t>
  </si>
  <si>
    <t>3GPP2 Do Session Close After MIP Failure</t>
  </si>
  <si>
    <t>3GPP2 Max Fallback PDN Failure Count</t>
  </si>
  <si>
    <t>/nv/item_files/data/3gpp2/max_fb_pdn_failure_count</t>
  </si>
  <si>
    <t>Disable 1X Advanced Capability</t>
  </si>
  <si>
    <t>/nv/item_files/cdma/1xcp/1xadvanced_capability</t>
  </si>
  <si>
    <t>Enable Wideband HD Voice on SO73 (COP 0)</t>
  </si>
  <si>
    <t>/nv/item_files/cdma/1xcp/so73_cop0_supported</t>
  </si>
  <si>
    <t>/nv/item_files/modem/data/3gpp/lteps/attach_profile</t>
  </si>
  <si>
    <t>Socks Call Profile Number</t>
  </si>
  <si>
    <t>Exclude PTMSI Type Field</t>
  </si>
  <si>
    <t>Fallback PDN List</t>
  </si>
  <si>
    <t>/eHRPD/fallback_pdn_list.txt</t>
  </si>
  <si>
    <t>SPRINT</t>
  </si>
  <si>
    <t>Summary</t>
  </si>
  <si>
    <t>0x29</t>
  </si>
  <si>
    <t>RMNET Call Profile Number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</si>
  <si>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</si>
  <si>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</si>
  <si>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</si>
  <si>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</si>
  <si>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</si>
  <si>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</si>
  <si>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</si>
  <si>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</si>
  <si>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</si>
  <si>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</si>
  <si>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</si>
  <si>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</si>
  <si>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</si>
  <si>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</si>
  <si>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</si>
  <si>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</si>
  <si>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Data field</t>
  </si>
  <si>
    <t>Data Type</t>
  </si>
  <si>
    <t>Data Size</t>
  </si>
  <si>
    <t>Data Value</t>
  </si>
  <si>
    <t>0x0100</t>
  </si>
  <si>
    <t>0x04</t>
  </si>
  <si>
    <t>Sprint Trailer Record</t>
  </si>
  <si>
    <t>Keep command window open</t>
  </si>
  <si>
    <t>band_pref</t>
  </si>
  <si>
    <t>NV_BAND_PREF_I6_32_I</t>
  </si>
  <si>
    <t>band_pref_16_31</t>
  </si>
  <si>
    <t>NV_BAND_PREF_32_63_I</t>
  </si>
  <si>
    <t>band_pref_32_63</t>
  </si>
  <si>
    <t>UE Usage Setting</t>
  </si>
  <si>
    <t>LTE Disable Duration</t>
  </si>
  <si>
    <t>65778, 0 --- disable LTE until next power cycle0 &lt; and &lt;720  all values between 0 and 720 are treated as 720 sec 720, values in seconds</t>
  </si>
  <si>
    <t>/nv/item_files/modem/lte/rrc/cap/fgi</t>
  </si>
  <si>
    <t>Feature Group Indicator</t>
  </si>
  <si>
    <t>0xFFFF</t>
  </si>
  <si>
    <t>0xBFFF</t>
  </si>
  <si>
    <t>propose_ehrpd_after_irat</t>
  </si>
  <si>
    <t>is_roaming_ehrpd_disabled</t>
  </si>
  <si>
    <t>max_hard_fallback_count</t>
  </si>
  <si>
    <t>max_soft_fallback_count</t>
  </si>
  <si>
    <t>back_to_ehrpd_timer</t>
  </si>
  <si>
    <t>modem_proc\mcfg\mcfg_gen\scripts\data\efs_files\vzw\fgi</t>
  </si>
  <si>
    <t>modem_proc\mcfg\mcfg_gen\scripts\data\efs_files\sprint\socks_call_prof_num</t>
  </si>
  <si>
    <t>modem_proc\mcfg\mcfg_gen\scripts\data\efs_files\sprint\rmnet_call_prof_num</t>
  </si>
  <si>
    <t>modem_proc\mcfg\mcfg_gen\scripts\data\efs_files\sprint\fallback_pdn_list.txt</t>
  </si>
  <si>
    <t>Band Class Preference (NV_BAND_PREF_I)</t>
  </si>
  <si>
    <t>(For reference purposes only)</t>
  </si>
  <si>
    <t>For Debug purposes only</t>
  </si>
  <si>
    <t>8901120</t>
  </si>
  <si>
    <t>Preferred Hybrid Mode</t>
  </si>
  <si>
    <t>0xC1</t>
  </si>
  <si>
    <t>TTY mode</t>
  </si>
  <si>
    <t>tty_mode</t>
  </si>
  <si>
    <t>/nv/item_files/modem/hdr/srch/hdr_acq_div_thresh0</t>
  </si>
  <si>
    <t>/nv/item_files/modem/hdr/srch/hdr_acq_div_thresh1</t>
  </si>
  <si>
    <t>/nv/item_files/modem/hdr/srch/hdr_acq_div_enable</t>
  </si>
  <si>
    <t>CDMA S070 enabled</t>
  </si>
  <si>
    <t>SMS Domain Preference</t>
  </si>
  <si>
    <t>/nv/item_files/modem/mmode/sms_domain_pref</t>
  </si>
  <si>
    <t>/nv/item_files/modem/mmode/voice_domain_pref</t>
  </si>
  <si>
    <t>CDMA 1x ZZ2_2 Selection Param</t>
  </si>
  <si>
    <t>/nv/item_files/modem/1x/zz2_2_sel_parms</t>
  </si>
  <si>
    <t>CDMA 1x ZZ2_2 Threshold</t>
  </si>
  <si>
    <t>/nv/item_files/modem/1x/zz2_2_thresh</t>
  </si>
  <si>
    <t>hybrid_pref_system</t>
  </si>
  <si>
    <t>/nv/item_files/modem/mmode/sd/1xcsfb_ecbm_status</t>
  </si>
  <si>
    <t>SD  1xCsfb Ecbm Status</t>
  </si>
  <si>
    <t>SMS Over S102</t>
  </si>
  <si>
    <t>/nv/item_files/modem/mmode/sms_over_s102</t>
  </si>
  <si>
    <t/>
  </si>
  <si>
    <t>Voice Domain Preference</t>
  </si>
  <si>
    <t>Carrier Version Update(s)</t>
  </si>
  <si>
    <t>System Determination Timers</t>
  </si>
  <si>
    <t>/nv/item_files/modem/mmode/sd/sdssscr_timers</t>
  </si>
  <si>
    <t>Image</t>
  </si>
  <si>
    <t>SW Product</t>
  </si>
  <si>
    <t>MCFG PW</t>
  </si>
  <si>
    <t>MPSS Configuration Items Listing</t>
  </si>
  <si>
    <t>/nv/item_files/modem/mmode/lte_disable_duration</t>
  </si>
  <si>
    <t>All carrier versions initialized to 0x31</t>
  </si>
  <si>
    <t>Ported from Dime 2.0 file version 30</t>
  </si>
  <si>
    <t>Initial Version for Dime 3.0</t>
  </si>
  <si>
    <t>ATT update</t>
  </si>
  <si>
    <t>removed NVs:
3649, 4722
Fix for IMS settings
added NVs:
67261, 67259, 69744, 67257</t>
  </si>
  <si>
    <t>ATT: 0x02010332</t>
  </si>
  <si>
    <t>Vzw Update</t>
  </si>
  <si>
    <t>Verizon: 0x02010132</t>
  </si>
  <si>
    <t>edited NVs:
3446=66,2
added NVs:
70233 (IMS RCS Auto-Config Parameters.iDisableAutoConfig = 1)</t>
  </si>
  <si>
    <t>Sprint update: Policy manager</t>
  </si>
  <si>
    <t>Sprint:
FR3164 Policy-manager</t>
  </si>
  <si>
    <t>Sprint:  0x02010208</t>
  </si>
  <si>
    <t>Sprint's Policy Manager</t>
  </si>
  <si>
    <t>/policyman/carrier_policy.xml</t>
  </si>
  <si>
    <t>TDD/FDD Intermode FGI</t>
  </si>
  <si>
    <t>/nv/item_files/modem/lte/rrc/cap/diff_fdd_tdd_fgi_enable</t>
  </si>
  <si>
    <t>ATT Updates</t>
  </si>
  <si>
    <t>ATT
edited NVs:
74, 65777=0, 67205, 67259
removed NVs:
6862, 947, 4173, 4210, 4432, 4722, 5107, 3852, 3635, 67210 (rpm_info)
duplicate CR items:
remove NVs: 3649, 4722
Airtel
editedNV: 67205 -- corrected EFS filepath</t>
  </si>
  <si>
    <t>ATT: 0x02010333
Airtel: 0x02011A32</t>
  </si>
  <si>
    <t>Sprint Update</t>
  </si>
  <si>
    <t>added NVs:
6828 = bands 25, 26, 41: 0x0000 0100 0300 0000</t>
  </si>
  <si>
    <t>Sprint:  0x02010233</t>
  </si>
  <si>
    <t>Verizon Update</t>
  </si>
  <si>
    <t>Verizon: 0x02010133</t>
  </si>
  <si>
    <t>PCO container elements added to LTE profiles:
1. Op_pco_id=65280 
2. Pco_mcc=311
3. Mnc=480
4. Mnc_includes_pcs_digit=1</t>
  </si>
  <si>
    <t>edited NVs:
65538 = LTE_3GPP_REL10_SEP12
70328 = 1 (REL_10_THROTTLING)</t>
  </si>
  <si>
    <t>Verizon: 0x02010134</t>
  </si>
  <si>
    <t>enables dual mode LTE</t>
  </si>
  <si>
    <t>added: 
diff_fdd_tdd_fgi_enable=1</t>
  </si>
  <si>
    <t>Sprint: 0x0201020A</t>
  </si>
  <si>
    <t>NV Items</t>
  </si>
  <si>
    <t>Grouped items into 3 main categories: NV, PRL, EFS
Verizon:
edited NV
65777 = 1 (should not have changed in CR539228)</t>
  </si>
  <si>
    <t>Verizon: 0x02010135</t>
  </si>
  <si>
    <t>Spreadsheet update
Verizon Update</t>
  </si>
  <si>
    <t>added NVs:
1897 (ipv6_sm_config)</t>
  </si>
  <si>
    <t>Verizon: 0x02010136</t>
  </si>
  <si>
    <t>0x19</t>
  </si>
  <si>
    <t>Verizon &amp; WirelessOne udpate: PDP profile updates for Multi-SIM</t>
  </si>
  <si>
    <t>Verizon: 0x02010137
W-One: 0x02011935</t>
  </si>
  <si>
    <t>Verizon: 0x02010138
W-One: 0x02011936</t>
  </si>
  <si>
    <t xml:space="preserve">Verizon update </t>
  </si>
  <si>
    <t>Verizon: 0x02010139</t>
  </si>
  <si>
    <t>update: 
70328 , rel_10_throttling set to 0</t>
  </si>
  <si>
    <t>Verizon: 0x0201013A</t>
  </si>
  <si>
    <t>update: 
NV72512 set to 1, NV 67257
voipSilentRedialEnabled  set to 1</t>
  </si>
  <si>
    <t>KDDI: 0x02010733</t>
  </si>
  <si>
    <t>update: 
1018 (CDMA Rx diversity) changed to 0xB1 for KDDI</t>
  </si>
  <si>
    <t>Carrier Updates: Verizon, Sprint, KDDI, CT</t>
  </si>
  <si>
    <t>already present: 
67290: HDR ACQ Diversity Enabled =1
added EFS: 
67288: HDR ACQ DIV Threshold 0  = -98
67289: HDR ACQ DIV Threshold 1  = -105</t>
  </si>
  <si>
    <t>Verizon: 0x0201013B
KDDI: 0x02010734
Sprint: 0x02010235
CT: 0x02011332</t>
  </si>
  <si>
    <t>HDR ACQ DIV Threshold 0</t>
  </si>
  <si>
    <t>Default = -98</t>
  </si>
  <si>
    <t>HDR ACQ DIV Threshold 1</t>
  </si>
  <si>
    <t>Default = -105</t>
  </si>
  <si>
    <t>HDR ACQ Diversity Enabled</t>
  </si>
  <si>
    <t>Default = 0</t>
  </si>
  <si>
    <t>Verizon: 0x0201013C
Sprint: 0x02010236
ATT: 0x02010334
TMO: 0x02010532
CT: 0x02011333
CU: 0x02011532
CMCC_Lab: 0x02011833
CMCC: 0x02011835
W-One: 0x02011938
Airtel: 0x02011A33
Reliance: 0x02011B32
SBM: 0x02011C32
TEST_Ota_DI_23_1: 0x02011D32
TEST_Ota_DI_23_2: 0x02011E32</t>
  </si>
  <si>
    <t>0x2D</t>
  </si>
  <si>
    <t>0x0D</t>
  </si>
  <si>
    <t>Removed Mux'd attribute from all NV/EFS settings
CMCC Update</t>
  </si>
  <si>
    <t>edited carriers: 
Verizon, Sprint, ATT, TMO, CT, CU CMBB_Lab, CMCC, W-One, Airtel, Reliance, SBM, TEST_Ota_DI_23_1, TEST_Ota_DI_23_2
Policy manager updates for CMCC MBNs.</t>
  </si>
  <si>
    <t>New Carrier config: SKT LTE Only</t>
  </si>
  <si>
    <t>SKT_LTE_Only: 0x02011F30</t>
  </si>
  <si>
    <t>0x1</t>
  </si>
  <si>
    <t>Carrier Updates: SKT LTE Only</t>
  </si>
  <si>
    <t>SKT_LTE_Only: 0x02011F31</t>
  </si>
  <si>
    <t>edited NVs:
850 = 1
added NVs/EFS:
5280 = 0
1014 = 0
67353 = 0</t>
  </si>
  <si>
    <t>New Carrier Configuration: ATT_VoLTE</t>
  </si>
  <si>
    <t>Difference from ATT: 
PDP Profile 1 = at+cgdcont=1,"ip","nxtgenphone"
PDP Profile 2 = at+cgdcont=2,"ipv4v6","ims"
PDP Profile 3 = at+cgdcont=3,"ipv4v6","sos"</t>
  </si>
  <si>
    <t>ATT_VoLTE: 0x02010330</t>
  </si>
  <si>
    <t>Verizon: 0x0201013D</t>
  </si>
  <si>
    <t>added NV: 
6828 = 0x100A</t>
  </si>
  <si>
    <t>SKT_LTE_Only Update</t>
  </si>
  <si>
    <t>SKT_LTE_Only: 0x02011F32</t>
  </si>
  <si>
    <t>added NVs: 
1015,1016,1017 all = 0
added EFS: 
67305: 0
/ds/atcop/atcop_cops_auto_mode.txt
/nv/item_files/modem/lte/rrc/sib/cmas
72524: 0
72525: 0
edted EFS: 
/nv/item_files/modem/lte/rrc/cap/fgi
/nv/item_files/modem/lte/rrc/csg/csg_control</t>
  </si>
  <si>
    <t>Sprint: 0x02010237</t>
  </si>
  <si>
    <t>0 - voice centric
1 - data centric</t>
  </si>
  <si>
    <t>edited NVs: 
65777 = 0
3532 = 240
3533 = 5</t>
  </si>
  <si>
    <t>ATT &amp; ATT_VoLTE carrier update</t>
  </si>
  <si>
    <t>ATT: 0x02010335
ATT_VoLTE: 0x02010331</t>
  </si>
  <si>
    <t>ATT: 
updated profile1 file strucutre. No delta with actual contents
ATT_VoLTE: 
added NV: 
/nv/item_files/ims/qp_ims_reg_config_db (71527)
/nv/item_files/ims/qp_ims_ut_config (70263)
/nv/item_files/modem/mmode/supplement_service_domain_pref (70239)
edited NV:
/nv/item_files/ims/qp_ims_sip_extended_0_config (69744)</t>
  </si>
  <si>
    <t>Sprint: 0x02010238</t>
  </si>
  <si>
    <t>Max SIB8 Waiting Slots</t>
  </si>
  <si>
    <t>/nv/item_files/modem/mmode/n_maxSIB8</t>
  </si>
  <si>
    <t>CDMA 1x CSFB Max No Voice Timeout</t>
  </si>
  <si>
    <t>/nv/item_files/cdma/1xcp/1xcsfb_t_max_no_voice</t>
  </si>
  <si>
    <t>CDMA 1x CSFB Max Registration Retry Count</t>
  </si>
  <si>
    <t>/nv/item_files/cdma/1xcp/1xcsfb_n_max_reg_retry_cnt</t>
  </si>
  <si>
    <t>CDMA 1x CSFB C2K Param Timeout</t>
  </si>
  <si>
    <t>/nv/item_files/cdma/1xcp/1xcsfb_t_max_no_c2k_param</t>
  </si>
  <si>
    <t>TMR_AMPS_RESEL</t>
  </si>
  <si>
    <t>TMR_CDMA_RESEL</t>
  </si>
  <si>
    <t>TMR_CDMA_RESEL_HOLD_CALL_END</t>
  </si>
  <si>
    <t>TMR_CDMA_RESEL_HOLD_IDLE_HOFF</t>
  </si>
  <si>
    <t>TMR_CDMA_REDIR</t>
  </si>
  <si>
    <t>TMR_HDR_RESEL_HOLD_CALL_END</t>
  </si>
  <si>
    <t>TMR_HDR_RESEL</t>
  </si>
  <si>
    <t>TMR_HDR_RESEL_HOLD</t>
  </si>
  <si>
    <t>TMR_HDR_REDIR</t>
  </si>
  <si>
    <t>CDMA_PI_THR</t>
  </si>
  <si>
    <t>SDSSSCR_NV_ITEM_RESEL_HOLD_3GPP_ACTIVITY</t>
  </si>
  <si>
    <t>TMR_RESERVED_1</t>
  </si>
  <si>
    <t>TMR_RESEL_TIMEOUT_SS_PREF</t>
  </si>
  <si>
    <t>SDSSSCR_NV_ITEM_ALT_CDMA_BSR_STAGE1_TIME</t>
  </si>
  <si>
    <t>SDSSSCR_NV_ITEM_ALT_CDMA_BSR_STAGE2_TIME</t>
  </si>
  <si>
    <t>TMR_CDMA_RESEL_HOLD_HDR_ACTIVITY</t>
  </si>
  <si>
    <t>TMR_LOC_BAS_HDR_LTE_RESEL</t>
  </si>
  <si>
    <t>PWR_SAVE_ENTER_TIME</t>
  </si>
  <si>
    <t>PWR_SAVE_WAKEUP_TIME</t>
  </si>
  <si>
    <t>TMR_PWR_SAVE_COLLOC</t>
  </si>
  <si>
    <t>TMR_LTE_HRPD_RESEL</t>
  </si>
  <si>
    <t>TMR_CDMA_MAP_AVOID_TIMER</t>
  </si>
  <si>
    <t>TMR_CDMA_ABSR_COUNT</t>
  </si>
  <si>
    <t>TMR_CDMA_NUM_ABSR_PER_BSR</t>
  </si>
  <si>
    <t>SDSSSCR_NV_ITEM_C2K_ALT_ALGR / BSR is disabled/enabled (0/1)</t>
  </si>
  <si>
    <t>modem_proc\mcfg\mcfg_gen\scripts\data\efs_files\sprint\sdssscr_timers</t>
  </si>
  <si>
    <t>65819
EFS file also includes deafaults (not listed below):
SDSSSCR_EFS_ITEM_LTE_TELESCOPE_BSR_TIME 60
 LTE Regular BSR timer(BSR timer in LTEAvailableArea) 
SDSSSCR_EFS_ITEM_TMR_LTE_LONG_RESEL 300
 LTE Long BSR timer(BSR timer in LTENotAvailableArea) 
SDSSSCR_EFS_ITEM_LTE_NOT_AVAIL_ACQ_FAIL_MAX_COUNT 2
 Max fail count; only used in LTENotAvailableFile 
SDSSSCR_EFS_ITEM_LTE_TELESCOPE_BSR_STAGE 3
 Indicates how many incremental BSR stages will be performed 
SDSSSCR_EFS_ITEM_LTE_TELESCOPE_BSR_RPT_CUNT 1</t>
  </si>
  <si>
    <t xml:space="preserve">0 - CS Voice Only
1 - PS Voice Only
2 - CS Voice Preferred
3 - PS Voice Preferred
</t>
  </si>
  <si>
    <t>Maximum Number of 1x CSFB CDMA Registration Retries</t>
  </si>
  <si>
    <t>Maximum waiting period for CDMA 1x CSFB No Voice</t>
  </si>
  <si>
    <t xml:space="preserve">0 - Hybrid Mode Off
1 - Hybrid Mode On
</t>
  </si>
  <si>
    <t xml:space="preserve">0 - ECBM Off
1 - ECBM On
</t>
  </si>
  <si>
    <t xml:space="preserve">0 - SMS over S102 Disable
1 - SMS over S102 Enable
</t>
  </si>
  <si>
    <t>Time for which the SMS can retry sending</t>
  </si>
  <si>
    <t xml:space="preserve"> Time in between retries</t>
  </si>
  <si>
    <t xml:space="preserve">0 - PS SMS not Allowed - Disable
1 - PS SMS Preferred - Enable
</t>
  </si>
  <si>
    <t>editedNVs/EFS:
70354, 70362
newNVs/EFS:
67213, 67267, 67268, 67266, 66048, 65778, 66472, 65819</t>
  </si>
  <si>
    <t xml:space="preserve">edited NV:
1897.Solicitation Interval </t>
  </si>
  <si>
    <t>Verizon: 0x0201013E</t>
  </si>
  <si>
    <t>ATT &amp; ATT_VoLTE Update</t>
  </si>
  <si>
    <t>addedNV:
70332 = 1, 69679 = 1
addedEFS:
conn_control_barring_optmz_enable
conn_control_param_cfg
lte_connection_control</t>
  </si>
  <si>
    <t>ATT: 0x02010336
ATT_VoLTE: 0x02010332</t>
  </si>
  <si>
    <t>TMO update</t>
  </si>
  <si>
    <t>TMO: 0x02010533</t>
  </si>
  <si>
    <t>editedNVs: 
65693
removedNVs: 
553, 896, 1030, 1031, 1302, 2508, 2509, 3649, 4118, 4173, 4210, 4432, 5107, 3635, 67204, 67205, 67210, 69676, 66035, 
/nv/item_files/modem/data/3gpp/ps/ser_req_throttle_behavior
/nv/item_files/modem/data/epc/pdn_throttling_config.txt
/nv/item_files/wcdma/rrc/wcdma_rrc_wtol_cm_support</t>
  </si>
  <si>
    <t>629305, 624749</t>
  </si>
  <si>
    <t>VZW: 0x0201013E</t>
  </si>
  <si>
    <t>added NV:
6253 = 1
added EFS:
/data/ds_eps_kamgr_pdn.txt
/data/iwlan_s2b_config.txt
/data/pdn_policy_db.txt</t>
  </si>
  <si>
    <t>Verizon / ATT IMS updates</t>
  </si>
  <si>
    <t>Verizon: 0x02010140
ATT_VoLTE: 0x02010333</t>
  </si>
  <si>
    <t>Verizon updates:
4228, 67283, 67284, 70213, 66031, 67198, 67197, 70199, 70200, 70267, 65961, 65777, 67239, 67348, 67261, 67259, 69744, 67332, 67314, 67257, 69750, 71527, 71542, 67194, 70360, /nv/item_files/ims/qp_ims_presence_ext_config
ATT updates:
1896, 1920, 69673, 67332, 69749, 65814, 70202, 69750, 67283, 67284, 70287, 71572, 67194, 67195, 70233, 70291, 65768, 70319, 70263, 70239, 67261, 67264, 71527, 69744, 65959, 67348, 67281, 70235</t>
  </si>
  <si>
    <t>edited NV: 
6 = 9</t>
  </si>
  <si>
    <t>Sprint: 0x02010239</t>
  </si>
  <si>
    <t>/nv/item_files/modem/mmode/sd/1xcsfb_call_end_opt</t>
  </si>
  <si>
    <t>1xCSFB Call End Opt</t>
  </si>
  <si>
    <t>Sprint: 0x0201023A</t>
  </si>
  <si>
    <t>added NV: 
72590 = 1</t>
  </si>
  <si>
    <t>Verizon: 0x02010141
ATT_VoLTE: 0x02010334</t>
  </si>
  <si>
    <t xml:space="preserve">
Verizon updates:
67280 = 55000
67281 = 60000
67348.version = 15
67348.local_upgrade_accept_timer = 55000
ATT_VoLTE updates:
67259.smsRATMaskString = 0x640E
67259.RatMaskValue = 25614
71527.ims_rat_apn_info[0].iRAT = 119
71527.rat_apn_fb_info[4].iRATAPNFallback = 25088
71527.rat_apn_fb_info[5].iRATAPNFallback = 29184</t>
  </si>
  <si>
    <t>edited NVs:
71522=0,1,1,1</t>
  </si>
  <si>
    <t>Verizon: 0x02010142</t>
  </si>
  <si>
    <t>edited NVs: 
67213 = 3, 67268 = 3, 67266 = 5000</t>
  </si>
  <si>
    <t>Sprint: 0x0201023B</t>
  </si>
  <si>
    <t>Maximum wait period after UE sends 1x Parameters request for response</t>
  </si>
  <si>
    <t>ATT_VoLTE: 0x02010335</t>
  </si>
  <si>
    <t>ATT Update</t>
  </si>
  <si>
    <t>Enable p-CSCF bits on Profies 2 &amp; 3</t>
  </si>
  <si>
    <t xml:space="preserve">added NVs: 
01014 =  0,1,0x1112, 0x1125, 0x1,0,0,0,0
01015 = 1, 00374=2 
00375=2, 02826=1, 0
no change: 
01016=1, 01017=2 </t>
  </si>
  <si>
    <t>Verizon: 0x02010143</t>
  </si>
  <si>
    <t>Updated PRL</t>
  </si>
  <si>
    <t>Sprint: 0x0201023C</t>
  </si>
  <si>
    <t>TMO: 0x02010534</t>
  </si>
  <si>
    <t>TMO Update</t>
  </si>
  <si>
    <t>IMS updates for TMO: 
edited NVs: 
850, 882, 1920, 3532, 3533, 10
added NVs/EFS: 
562, 855, 3446, 6862, 4265, 6830, 6831, 65956, 65961, 66472, 66473, 65777, 66048, 67218, 67261, 67264, 67259, 69744, 69673, 67348, 67332, 67257, 65959, 69750, 69749, 65814, 70202, 65955, 65957, 67194, 67195, 67199, 67280, 67281, 67282, 65964, 65960, 66031, 67239, 67240, 67241, 70213, 67225, 70291, 70287, 70233, 70239, 70263, 71527, 71540</t>
  </si>
  <si>
    <t>C2K Updates</t>
  </si>
  <si>
    <t>Back pressure NV items to be set for all c2k MBNs
added EFS for Verizon, CT_x, Sprint, KDDI, W-One: 
NV 69739 = 1 (enabled) and 1000 (timer_value)
NV 67208 = 1</t>
  </si>
  <si>
    <t>timer_value</t>
  </si>
  <si>
    <t>Verizon: 0x02010144
Sprint: 0x0201023D
CT: 0x02011335
CT_DSDS: 0x02011331
CT_DSDA: 0x02011331
W-One: 0x0201193A
KDDI: 0x02010735</t>
  </si>
  <si>
    <t>Verizon: 0x02010145</t>
  </si>
  <si>
    <t>TMO &amp; ADAPT updates
Sprint Update</t>
  </si>
  <si>
    <t>Added NV: 
4722 = 3
Also updated Sprints carrier_policy path: 
modem_proc\mmcp\policyman\configurations\Carrier\Sprint\No_GSM_in_USA\carrier_policy.xml
Updated internal macros to generate revision statistics</t>
  </si>
  <si>
    <t>TMO: 0x02010535
ATT: 0x02010337
ATT_VoLTE: 0x02010336
Sprint: 0x0201023E</t>
  </si>
  <si>
    <t>Spreadsheet statistics</t>
  </si>
  <si>
    <t>Total carrier configurations</t>
  </si>
  <si>
    <t>Total supported items (NV &amp; EFS)</t>
  </si>
  <si>
    <t>Corrections: TMO update</t>
  </si>
  <si>
    <t>TMO: 0x02010536</t>
  </si>
  <si>
    <t>corrected EFS entries: 
71540, 70263</t>
  </si>
  <si>
    <t>Workbook updates</t>
  </si>
  <si>
    <t>Updates enable generation of single carriers</t>
  </si>
  <si>
    <t>Select Carriers for Generation</t>
  </si>
  <si>
    <t>Verizon</t>
  </si>
  <si>
    <t xml:space="preserve">
Verizon_1xSRLTE: 0x02010140</t>
  </si>
  <si>
    <t>Verizon_1xSRLTE update:
updated/edited NVs: 
5, 905, 4399, 1892, 1895, 1962, 2822, 3446, 3632, 4231, 4227
edited EFS: 
65674, 67288, 67289, 66045, 66048
new EFS: 
67288, 67270, 67292, 65677, 72538, 72539, 72550, 65819, 72594, 72608
/nv/item_files/modem/lte/ML1/spv_timer_connected
/nv/item_files/modem/lte/ML1/cdrx_collision_params
/policyman/carrier_policy.xml</t>
  </si>
  <si>
    <t>Verizon_1xSRLTE update</t>
  </si>
  <si>
    <t>ATT/ATTVoLTE update</t>
  </si>
  <si>
    <t>Update profile path to lower case</t>
  </si>
  <si>
    <t>ATT: 0x02010338
ATT_VoLTE: 0x02010337</t>
  </si>
  <si>
    <t>W-one update for gstk feature mask</t>
  </si>
  <si>
    <t>65674 GSTK Feature Bitmask set to 0x47</t>
  </si>
  <si>
    <t>W-One: 0x0201193B</t>
  </si>
  <si>
    <t xml:space="preserve">
Verizon_1xSRLTE: 0x02010141</t>
  </si>
  <si>
    <t>Corrected profile1
udpated carrier_policy entry</t>
  </si>
  <si>
    <t>ATT_VoLTE IMS update</t>
  </si>
  <si>
    <t>added EFS: 
71597: /nv/item_files/ims/qipcall_qos_config</t>
  </si>
  <si>
    <t>ATT_VoLTE: 0x02010338</t>
  </si>
  <si>
    <t>W-one update</t>
  </si>
  <si>
    <t>W-One : 0x0201193C</t>
  </si>
  <si>
    <t>Set 70319 to 2 by default in MCFG</t>
  </si>
  <si>
    <t>Default : 0x02E00033</t>
  </si>
  <si>
    <t>Default update</t>
  </si>
  <si>
    <t>Verizon_1xSRLTE: 0x02010143</t>
  </si>
  <si>
    <t>Verizon update
Verizon_1xSRLTE update</t>
  </si>
  <si>
    <t xml:space="preserve">both Verizon Configs: 
added  new NV/EFS :                                                               NV 70299 =2000 /nv/item_files/modem/uim/gstk/attach_ctrl_timer   </t>
  </si>
  <si>
    <t>Verizon: 0x02010146
Verizon_1xSRLTE : 0x02010142</t>
  </si>
  <si>
    <t>677496
665181</t>
  </si>
  <si>
    <t>editedEFS: 
(67219 not included )
72561 = 311, 480
updated EFS: 
added Operator Reserved PCO bits  to profiles 1 &amp; 3
updated carrier policy.xml
ds_dsd_attach_profile.txt
ds_dsd_apm_rules.txt
Profile1, profile3</t>
  </si>
  <si>
    <t>0x91</t>
  </si>
  <si>
    <t>ddtm_settings</t>
  </si>
  <si>
    <t>DDTM Settings</t>
  </si>
  <si>
    <t>hdr_min_uati_mode</t>
  </si>
  <si>
    <t>HDR Minimum UATI Mode</t>
  </si>
  <si>
    <t>cdma_so70_enabled</t>
  </si>
  <si>
    <t>0x0</t>
  </si>
  <si>
    <t>Sprint update</t>
  </si>
  <si>
    <t>Sprint: 0x0201023F</t>
  </si>
  <si>
    <t>added NVs/EFS and removed place holder &amp; NV 304: 6,10,441,562,850,855,880,881,1018,3515,3532,3533,4204,4964,6828,65777,66035,65881,65883,4398,3635,67290,3634,4185,4192,259,463,67213,67268,65778</t>
  </si>
  <si>
    <t>Forked from rev #74 of the gen/common spreadsheet</t>
  </si>
  <si>
    <t>Initial Version for NA</t>
  </si>
  <si>
    <t>Verizon_hVoLTE</t>
  </si>
  <si>
    <t>Verizon_hVoLTE: 0x02010160</t>
  </si>
  <si>
    <t>Added new Verizon_hVoLTE Carrier : Verizon_1xSRLTE+NV66048,72538,72610,69679, 72561</t>
  </si>
  <si>
    <t>Updated NV 65777 to 0 (voice centric)</t>
  </si>
  <si>
    <t>Sprint: 0x02010240</t>
  </si>
  <si>
    <t>Verizon, Verizon_1xSRLTE, Verizon_hVoLTE updates</t>
  </si>
  <si>
    <t>Verizon: 0x02010148
Verizon_1xSRLTE: 0x02010144 
Verizon_hVoLTE: 0x02010161
ATT_VoLTE: 0x02010339</t>
  </si>
  <si>
    <t>For just "Verizon":
    *  72553 = 0
    *  67348, 70291 updated
    *  66048 --&gt; 3 (was already set)
    *  72538 -&gt; 0, 0 (added from hVoLTE)
    *  72610 -&gt; 0, 1, 1, 1, 10, 0, 0 (added from 1xSRLTE)
    *  69679 -&gt; 1 (was already set)
    *  72561 -&gt; 2, 3, 1, 1, 4, 8, 0, 0, 0, 1, 0, 1, 0 (added from hVoLTE)
For all Verizon configs:
    *  71524 --&gt; (version set to 0, get_net_auto_mode set to 1)
    *  67219 -&gt; 1
    *  67326 -&gt; 1
ATT_VoLTE:
added EFS: 
67314, 71597,  71542, 72553
updated EFS: 
69744, 67348, 70291</t>
  </si>
  <si>
    <t xml:space="preserve">Verizon: 0x02010148
Verizon_1xSRLTE: 0x02010145
Verizon_hVoLTE: 0x02010162
</t>
  </si>
  <si>
    <t>Added 3GPP legacy profile: VZWADMIN,VZWINTERNET,
VZWAPP</t>
  </si>
  <si>
    <t>modem_proc\mmcp\policyman\configurations\Carrier\Sprint\1xSRLTE\CHGWL_roam\subsidized\carrier_policy.xml</t>
  </si>
  <si>
    <t xml:space="preserve">FR3164  with 1xSRLTE configuration - Policy-manager:   </t>
  </si>
  <si>
    <t>Sprint: 0x02010241</t>
  </si>
  <si>
    <t xml:space="preserve">Changed carrier policyman to PM ver: 28.1.1
</t>
  </si>
  <si>
    <t>Verizon: 0x02010149
Verizon_1xSRLTE: 0x02010146
Verizon_hVoLTE: 0x02010163</t>
  </si>
  <si>
    <t xml:space="preserve">Added NV : 1897,1206 and added "pdn_throttling_config file" in EFS&gt;root&gt;nv&gt;item_files&gt;modem&gt;data&gt;epc&gt;pdn_throttling_config </t>
  </si>
  <si>
    <t>Added NV 72561: PLMN “311-090” and updated EFS File Name: ds_dsd_apm_rules.txt</t>
  </si>
  <si>
    <t>Verizon: 0x0201014A
Verizon_1xSRLTE: 0x02010147
Verizon_hVoLTE: 0x02010164</t>
  </si>
  <si>
    <t>ATT_VoLTE Update</t>
  </si>
  <si>
    <t>ATT_VoLTE: 0x0201033A 
ATT: 0x02010339</t>
  </si>
  <si>
    <t>Updated NVs for ATT VoLTE:
* 67194
* 70291
* 70263
* 67261
* 67264
* 67348
* 67314
* 67281
* 65960
Added NV 71569 for ATT and ATT VoLTE</t>
  </si>
  <si>
    <t>All configs updated</t>
  </si>
  <si>
    <t>Ported from Dime 4.0 ver 9</t>
  </si>
  <si>
    <t>Verizon: 0x04010100
Verizon_1xSRLTE: 0x04010120
Verizon_hVoLTE: 0x04010140
Sprint: 0x04010200
ATT: 0x04010300
ATT_VoLTE: 0x04010300
TMO: 0x04010500</t>
  </si>
  <si>
    <t>Add APN_Class to 3GPP2 profiles. Made all IPV4_V6.
edited EFS: 
/pdp_profiles/embedded_call_prof_num = 3</t>
  </si>
  <si>
    <t>Verizon &amp; W-One: 
added EFS: 
/pdp_profiles/tethered_call_prof_nums
/pdp_profiles/embedded_call_prof_nums</t>
  </si>
  <si>
    <t>edited EFS: 
Verizon:
/pdp_profiles/tethered_call_prof_nums: 3,3
/pdp_profiles/embedded_call_prof_nums: 3,3
W-One: 
/pdp_profiles/tethered_call_prof_nums: 1,1
/pdp_profiles/embedded_call_prof_nums: 1,1</t>
  </si>
  <si>
    <t>/pdp_profiles/consl_profiles/socks_call_prof_num</t>
  </si>
  <si>
    <t>/pdp_profiles/consl_profiles/rmnet_call_prof_num</t>
  </si>
  <si>
    <t>ATT + ATT_VoLTE Update</t>
  </si>
  <si>
    <t>Updated NVs:
70331 -&gt; 1
72579 -&gt; 0
72564 -&gt; 0
70361 -&gt; 1</t>
  </si>
  <si>
    <t>ATT_VoLTE: 0x04010301
ATT: 0x04010301</t>
  </si>
  <si>
    <t>Verizon Updates</t>
  </si>
  <si>
    <t>Set NV 3635[10] = 30</t>
  </si>
  <si>
    <t>Verizon: 0x04010101
Verizon_1xSRLTE: 0x04010121
Verizon_hVoLTE: 0x04010141</t>
  </si>
  <si>
    <t xml:space="preserve">Profiles updates:      (1)  Profile3-Profile3-APN  =  wonev6.com for 3gpp (2) Profile4- Profile4 -APN  = wonev4v6.com for 3gpp (3) Profile_102  - /application_specific_profiles/profile_102.txt  - APN  = wonev6.com for 3gpp2, (4) Profile_104 - /application_specific_profiles/profile_104.txt -APN  = wonev4v6.com for 3gpp2                                                                   </t>
  </si>
  <si>
    <t>Config updates</t>
  </si>
  <si>
    <t xml:space="preserve">Updates to target profiles paths for all configs. Profiles now stored in “/Data_Profiles/SubsX” directory </t>
  </si>
  <si>
    <t>Verizon 0x04010102
Verizon_1xSRLTE 0x04010122
Verizon_hVoLTE 0x04010142
Sprint 0x04010201
ATT 0x04010303
ATT_VoLTE 0x04010303
TMO 0x04010501</t>
  </si>
  <si>
    <t>ATT updates</t>
  </si>
  <si>
    <t>Updated profile listings for ATT</t>
  </si>
  <si>
    <t>ATT 0x04010304
ATT_VoLTE 0x04010304</t>
  </si>
  <si>
    <t>ATT/Tmo updates</t>
  </si>
  <si>
    <t>705789
676695</t>
  </si>
  <si>
    <t>ATT 0x04010305
ATT_VoLTE 0x04010305
TMO 0x04010502</t>
  </si>
  <si>
    <t>TMO: 
IINs changed to 8949024, 8944302
ATT configs: 
65781 - changed to slot based EFS item</t>
  </si>
  <si>
    <t>Added unmarked NV # EFS file</t>
  </si>
  <si>
    <t>Verizon_1xSRLTE: 0x04010123
Verizon_hVoLTE: 0x04010143</t>
  </si>
  <si>
    <t>NV 67197 set to 15,000</t>
  </si>
  <si>
    <t>Verizon_hVoLTE: 0x04010144</t>
  </si>
  <si>
    <t>Updated NV67211:
feature purge_temp_identities = enabled
feature uicc_rat_indicator = enabled</t>
  </si>
  <si>
    <t>ATT 0x04010306
ATT_VoLTE 0x04010306</t>
  </si>
  <si>
    <t>All configs updates</t>
  </si>
  <si>
    <t>IINs updated for configs: 
TMO: 
8949024, 8944302, 8901026, 
8901160, 8901260, 8901490
ATT: 
8901410, 8901030, 8901150, 
8901170, 8901560,  8901680
Verizon: 
891480, 891004, 891005, 891012</t>
  </si>
  <si>
    <t>Verizon 0x04010104
Verizon_1xSRLTE 0x04010124
Verizon_hVoLTE 0x04010145
ATT 0x04010307
ATT_VoLTE 0x04010307
TMO 0x04010503</t>
  </si>
  <si>
    <t>Verizon IMS Updates</t>
  </si>
  <si>
    <t>Changes listed in \\frosty\MST_Certification_Logs\VZW\BINMO\VZW_diff_IMS</t>
  </si>
  <si>
    <t xml:space="preserve">Verizon: 0x04010105
Verison_1xSRLTE: 0x04010125
Verizon_hVoLTE: 0x04010146
</t>
  </si>
  <si>
    <t>ATT: 0x04010308
ATT_VoLTE: 0x04010308</t>
  </si>
  <si>
    <t>ATT GNSS Operation updates</t>
  </si>
  <si>
    <t>NV #1920  AAGPS Positioning Modes Supported = 0xFF7F
NV #67217 GNSS AGPS RAT Preference = 1, 0xFFFF
NV #6792  SUPL Version = 0x00020000
NV #65811 GNSS 1X UP SUPL Enable = 0
NV #04703 UMTS PDE Server Address URL = '\0'
NV #452 GPS LOCK =0
NV #3758 AGPS Transport Security ID =1
NV #6789  GNSS NMEA Sentence Type ID = 0x3F
NV #6790 GNSS NMEA Extended Sentence Type ID = 0 
NV #70192  Assisted GLONASS Positioning Protocol Select = 0x2
NV #67225 Assisted GPS LPP Positioning Protocol Select  = 2
Other Non-GNSS related NV items required for supporting AGNSS on WCDMA (RRC-R8)
NV #03649 WCDMA RRC VERSION (For supporting RRC R8 on the modem)=4
NV #71564 RRC AGNSS support (For supporting AGNSS on RRC R8)=TRUE</t>
  </si>
  <si>
    <t>Set NV 72551 and NV 70328 to 1</t>
  </si>
  <si>
    <t>Set NV 70328 ref_10_throttling = 1</t>
  </si>
  <si>
    <t>Verizon: 0x04010107</t>
  </si>
  <si>
    <t>Verizon: 0x04010108</t>
  </si>
  <si>
    <t>Update DSDS inactivity timer</t>
  </si>
  <si>
    <t>Verizon_1xSRLTE: 0x04010126
Verizon_hVoLTE: 0x04010147</t>
  </si>
  <si>
    <t>Sprint 0x04010202</t>
  </si>
  <si>
    <t>DDTM ALLOW SO PAGES</t>
  </si>
  <si>
    <t>nv_ddtm_allow_so_list_s_type.allow_num_srv_opt</t>
  </si>
  <si>
    <t>int[62]</t>
  </si>
  <si>
    <t>nv_ddtm_allow_so_list_s_type.allow_srv_opt_list</t>
  </si>
  <si>
    <t>3,0</t>
  </si>
  <si>
    <t xml:space="preserve"> 3 = block all but S03 traffic</t>
  </si>
  <si>
    <t>7162 = 1,3</t>
  </si>
  <si>
    <t>Verizon updates</t>
  </si>
  <si>
    <t>Verizon 0x04010109
Verizon_1xSRLTE 0x04010127
Verizon_hVoLTE 0x04010148</t>
  </si>
  <si>
    <t>all Vzw configs: 
added EFS: 
71517: 1,15</t>
  </si>
  <si>
    <r>
      <t>716012</t>
    </r>
    <r>
      <rPr>
        <sz val="10"/>
        <color theme="1"/>
        <rFont val="Arial"/>
        <family val="2"/>
      </rPr>
      <t> </t>
    </r>
  </si>
  <si>
    <t>Verizon_1xSRLTE 0x04010128
Verizon_hVoLTE/Verizon: 0x04010149</t>
  </si>
  <si>
    <t>Renamed Verizon hVolte --&gt; Verizon
Both Verizon_hVolte/Verizon and Verizon_1xSRLTE
04228 = 0
03532 =  0
03533 = 0
70222 = Not Applicable
04398 = Not Applicable
67198 = 0
67197 = Not Applicable
65961 =  0
70199 =  Not Applicable
70200 = Not Applicable
66473 = 0
67264 (RegConfigRegistrationAttempts) = 0
67264 (regManagerPDPFailureSchedule)  = 10
67259 (smsConfigVDN)  =  0000008197
69744 (TCPThresholdValue) = 1500,       (AuthScheme)  = 1
67332 version = 3, audio_offload = 2, video_offload = 0
69750 (WFC_status = ims_operation_submode = ims_operation_submode) = 0
70291 (iH264_preferred_resolution) = 7, (iH264_min_bit_rate) = 64
Removed BuildVer box from Summary spreadsheet</t>
  </si>
  <si>
    <t>Verizon update</t>
  </si>
  <si>
    <t>Verizon update: Home PLMN List: add 001-01</t>
  </si>
  <si>
    <t xml:space="preserve"> Verizon_1xSRLTE 0x04010129</t>
  </si>
  <si>
    <t>added EFS: 
70328 (rel_10_throttling)  : Set to 1. (Default value:0) 
72551 (rel_10_throttling_per_plmn): Set to 1 (Default value:0)
omitted EFS req: 
72560 (RegPDNThrottling):    Set to 0 (Default value:0)</t>
  </si>
  <si>
    <t>Verizon: 0x0401014A
Verizon_1xSRLTE 0x0401012A</t>
  </si>
  <si>
    <t xml:space="preserve">Verizon updates </t>
  </si>
  <si>
    <t>Verizon: 0x0401014B
Verizon_1xSRLTE 0x0401012B</t>
  </si>
  <si>
    <t xml:space="preserve">added EFS: 
/nv/item_files/modem/uim/gstk/feature_bmsk = 0x57
</t>
  </si>
  <si>
    <t>Verizon &amp; ATT Updates</t>
  </si>
  <si>
    <t>added EFS
ATT_VoLTE:
73534 – /nv/item_files/modem/uim/mmgsdi/ens_slot_enabled = 1
Verizon &amp; Verizon_1xSRLTE:
70299 = 2000ms</t>
  </si>
  <si>
    <t>Verizon 0x0401014C
Verizon_1xSRLTE 0x0401012D
ATT_VoLTE 0x04010309</t>
  </si>
  <si>
    <t>Verizon &amp; Sprint Updates</t>
  </si>
  <si>
    <t>TMO updates</t>
  </si>
  <si>
    <t>71597 (QoSInactiveInvite) = 0
71597 (QoSInactiveReInvite) = 0
71554 (version) = 1
71554 (ims_cache_expiry_duration) = 5000
71554 (mid_call_support) = 1
73544 = 0
profile1 = "IP", "fast.t-mobile.com"
profile2 = "IPV4V6", "ims", PCO
profile3 = "IPV4V6", "sos", PCO</t>
  </si>
  <si>
    <t>70263 (eUtGBAUbType) = 0
70263 (eUtGBAUbMode) = 0 
70263 (utBSFAddr) = 0
71527 (ims_rat_apn_info[1].iRAT) = 0
71527 (ims_rat_apn_info[1].iAPNType_APNindex) = 0
71527 (ims_rat_apn_info[1].iIMSServiceInfo) = 0
71527 (ims_rat_apn_info[1].iAuth_SecType) = 0
71527 (ims_rat_apn_info[1].iIPTypeInfo) = 0
71527 (rat_apn_fb_info[1].iRATAPNFallback) = 0
71527 (rat_apn_fb_info[2].iRATAPNFallback) = 0
71527 (iISIMPriority) = 2
71527 (iNVPriority) = 3
69679 = empty
71544 (Cellid) = 0
71540 (USSDEnable) = 0
71572 = 10000
70235 (Tdelay) = 0
70235 (iEmerIPFallback) = 0
65958 = 0
72553 = 0
71597 (Version) = 0
71597 (LocalQoSAudio) = 1
71597 (LocalQosVideo) = 1</t>
  </si>
  <si>
    <t>Remove 06828
Remove 70287
Remove 01877</t>
  </si>
  <si>
    <t>Verizon: 0x0401014D
Verizon_1xSRLTE: 0x0401012E
Sprint: 0x04010203
ATT: 0x04010309
ATT_VoLTE: 0x04010310
TMO: 0x04010504</t>
  </si>
  <si>
    <t>TMO: 0x04010504</t>
  </si>
  <si>
    <t>67264 (regManagerPreConfigServerBase) = empty 
67264 (RegConfigDelayAttemptTimer) = 120
67259 (smsRATMaskString) = 0x400
67259 (RatMaskValue) = 1024
69744 (version) = 6
69744 (Timer_TfValue) = 32000
69744 (Timer_TJValue) = 32000
69744 (AuthScheme) = 0
69744 (AuthHeaderValue) = empty
69744 (ProxyRouteValue) = empty
69744 (Timer_TBValue) = 32000 (new)
67348 (Version) = 15
67348 (E911_CALL_TIMER) = 0
67348 (local_upgrade_accept_timer) = 0
67348 (eQIPCALL_CONFERENCE_INDIALOG_SUBSCRIPTION) = 0
67348 (multitask_mode) = 0
67332 (gmin) = 0
67332 (tx_system_delay) = 0
67332 (rx_system_delay) = 0
67332 (Audio_offload) = 0
67332 (Video_offload) = 0
67257 (voipConfigConfURI) = 8881112663</t>
  </si>
  <si>
    <t>69749 = 1500
65814 = 1500
67239 = 0
70291 (H264 preferred resolution) = 7
70291 (H264 preferred frame rate_1) = 0
70291 (H264 preferred bit rate_1) = 0
70291 (H264 preferred resolution_1) = 0
70291 (H264 preferred profile level_1) = 0
70291 (H264 min frame rate_1) = 0
70291 (H264 max frame rate_1) = 0 
70291 (H264 min bit rate_1) = 0
70291 (H264 max bit rate_1) = 0
70291 (H264 resolutions supported_1) = 0 
70291 (H264 min profile levels per resolution_1) = 0
70291 (H264 H264 Profile_1) = 0
70239 = 2
70263 (utAPNName) = fast.t-mobile.com
70263 (utDomainName) = empty
70263 (utPAssociatedURI) = empty
70263 (iUtRetryTimerValue) = 10
70263 (iUtRetryAttemptCount) = 5</t>
  </si>
  <si>
    <t>ATT VoLTE updates</t>
  </si>
  <si>
    <t>726203
721192
723377
731221</t>
  </si>
  <si>
    <t>69749 = 2000
69744 (iRouteHeaderEnabled) = 1
69744 (iGzipDecodingOutBufferMultiplier) = 60
67348 (video_media_profile_mode) = 3
67332 (qdj_drop_threshold) = 60
71597 (Version) = 1
71597 (QoSInactiveInvite) = 1
71597 (QoSInactiveReInvite) = 0
67240 = 1
67241 = 1
65633 = 0x000000803B0F30DF
70358 (pdown_on_consecutive_techprob) = 1
70358 (cnt_of_consecutive_techprob) = 3</t>
  </si>
  <si>
    <t>ATT_VoLTE 0x04010311</t>
  </si>
  <si>
    <t>VZW: 0x0401014E
VZW_1xSRLTE: 0x0401012F</t>
  </si>
  <si>
    <t>profile1="LTE"
profile2="LTE"
profile3="LTE", App user data=1
profile4="LTE"
profile5="IPV4V6",vzw800, "LTE", app user data=0
profile106="G+W", class=2,"vzwadmin"
profile107="G+W", app user data=1, class=3, "vzwinternet"
profile108="G+W", class=4,"vzwapp"</t>
  </si>
  <si>
    <t>Sprint: 0x04010204</t>
  </si>
  <si>
    <t>"IPV4V6","n.ispsn"</t>
  </si>
  <si>
    <t>profile1="3GPP2", apn_name="n.ispsn", "IPv4v6"
65777=1</t>
  </si>
  <si>
    <t>ATT: 0x0401030A
ATT_VoLTE: 0x04010312
TMO: 0x04010505</t>
  </si>
  <si>
    <t>10=13 for 2nd sub
850=0 for 2nd sub
69689="T-Mobile VOLTE Qualcomm"
add IIN 8901490</t>
  </si>
  <si>
    <t>ATT/TMO updates</t>
  </si>
  <si>
    <t>efs: "/data/ds_dsd_apm_rules.txt": 
'ATTACH_TYPE_RULES:TRUE; P-CSCFRequired:2;'</t>
  </si>
  <si>
    <t>VZW: 0x0401014F
VZW_1xSRLTE: 0x04010130</t>
  </si>
  <si>
    <t>Removed 106, 107 and 108 profiles</t>
  </si>
  <si>
    <t>VZW: 0x04010150
VZW_1xSRLTE: 0x04010131</t>
  </si>
  <si>
    <t>Added TMO IWLAN settings to TMO</t>
  </si>
  <si>
    <t>All NVs updated as per unified document into TMO sheet</t>
  </si>
  <si>
    <t>TMO: 0x04010506</t>
  </si>
  <si>
    <t>TMO: 0x04010507</t>
  </si>
  <si>
    <t>65674=0x46</t>
  </si>
  <si>
    <t>VZW: 0x04010151
VZW_1xSRLTE: 0x04010132</t>
  </si>
  <si>
    <t>73561=0</t>
  </si>
  <si>
    <t>Verizon_Hvolte 0x04010152</t>
  </si>
  <si>
    <t>726851 amd 730575</t>
  </si>
  <si>
    <t>726851 -&gt; E911IPV6Enabled = 1 for NV 67261 (vzw hvolte)
730575 -&gt; NV 71581 = Changes as per CR defination (vzw hvolte)</t>
  </si>
  <si>
    <t>Vzw Hvolte Update (renamed Verizon to Verizon_hVOLTE for the sheet)</t>
  </si>
  <si>
    <t>Remove 3649</t>
  </si>
  <si>
    <t>ATT_VoLTE update</t>
  </si>
  <si>
    <t>ATT: 0x0401030B
ATT_VOLTE: 0x04010314</t>
  </si>
  <si>
    <t>67348=30000</t>
  </si>
  <si>
    <t>ATT_VOLTE: 0x04010313</t>
  </si>
  <si>
    <t>VZW MBN BO 2.0 - Update to few NVs/EFS files</t>
  </si>
  <si>
    <t>67344(3GPP PS Allow infinite Throttling) =1 and 67264:regManagerPDPFailureSchedule set to 1(vzw hvolte and vzw srlte)</t>
  </si>
  <si>
    <t>Verizon_Hvolte:0x04010153  VZW_1xSRLTE:0x04010133</t>
  </si>
  <si>
    <t>GENERIC</t>
  </si>
  <si>
    <t>Carrier</t>
  </si>
  <si>
    <t>Commercial</t>
  </si>
  <si>
    <t>NA</t>
  </si>
  <si>
    <t>Commercial-Sprint</t>
  </si>
  <si>
    <t>QC_version_type</t>
  </si>
  <si>
    <t>0x05</t>
  </si>
  <si>
    <t>QC_version_len</t>
  </si>
  <si>
    <t>QC_version</t>
  </si>
  <si>
    <t>Sprint Updates</t>
  </si>
  <si>
    <t>Sprint: 0x05010201</t>
  </si>
  <si>
    <t>MCFG.MPSS.5.0</t>
  </si>
  <si>
    <t>Compatibility and QC_Version Updates and Removed NV65674</t>
  </si>
  <si>
    <t>Removed NV4398</t>
  </si>
  <si>
    <t>Sprint: 0x05010202</t>
  </si>
  <si>
    <t>Removed NV74, NV75</t>
  </si>
  <si>
    <t>Sprint: 0x05010203</t>
  </si>
  <si>
    <t>IIN_list length updated to 6</t>
  </si>
  <si>
    <t>Sprint: 0x05010204</t>
  </si>
  <si>
    <t>3/6//2015</t>
  </si>
  <si>
    <t>PM File Update</t>
  </si>
  <si>
    <t>Sprint: 0x05010205</t>
  </si>
  <si>
    <t>C2K Switch To SRLTE</t>
  </si>
  <si>
    <t>/nv/item_files/modem/mmode/c2k_switch_2_srlte</t>
  </si>
  <si>
    <t>3/16//2015</t>
  </si>
  <si>
    <t>Field (Sprint/Chicago)- MBN to disabled FR22010 for Sprint</t>
  </si>
  <si>
    <t>Sprint: 0x05010206</t>
  </si>
  <si>
    <t>Prl update</t>
  </si>
  <si>
    <t>Sprint: 0x05010207</t>
  </si>
  <si>
    <t>modem_proc\mcfg\mcfg_gen\scripts\data\efs_files\sprint\54022.prl</t>
  </si>
  <si>
    <t>IMS Media Config</t>
  </si>
  <si>
    <t>/nv/item_files/ims/qp_ims_media_config</t>
  </si>
  <si>
    <t>Sprint: 0x05010208</t>
  </si>
  <si>
    <t>IMS DSCP Configurations update</t>
  </si>
  <si>
    <t>/Data_Profiles/Profile1</t>
  </si>
  <si>
    <t>All configs</t>
  </si>
  <si>
    <t>Updated all profiles to be multiSIM efs type</t>
  </si>
  <si>
    <t>Sprint: 0x0501020B</t>
  </si>
  <si>
    <t>QIPCall Preferred URI Type</t>
  </si>
  <si>
    <t>/nv/item_files/ims/qipcall_confrd_uri</t>
  </si>
  <si>
    <t>QIPCall DAN Enabled</t>
  </si>
  <si>
    <t>/nv/item_files/ims/qipcall_dan_enable</t>
  </si>
  <si>
    <t>IMS Enable</t>
  </si>
  <si>
    <t>IMS DPL Configuration</t>
  </si>
  <si>
    <t>/nv/item_files/ims/qp_ims_dpl_config</t>
  </si>
  <si>
    <t>PtimeValue</t>
  </si>
  <si>
    <t>InitialBufferTimeValue</t>
  </si>
  <si>
    <t>AMR_Mode</t>
  </si>
  <si>
    <t>IPV6Enabled</t>
  </si>
  <si>
    <t>MSRPPktSz</t>
  </si>
  <si>
    <t>DscpValue</t>
  </si>
  <si>
    <t>RUIMIMSIValue</t>
  </si>
  <si>
    <t>IMSParamSrc</t>
  </si>
  <si>
    <t>IMS Registration Module Configuration</t>
  </si>
  <si>
    <t>/nv/item_files/ims/qp_ims_reg_config</t>
  </si>
  <si>
    <t>RegOnMode (0 Power on, 1 On Call)</t>
  </si>
  <si>
    <t>RegModeConfig (0 IETF, 1 EARLY, 2 IMS with IPSec, 3 IMS without IPSec, 4 No IMS)</t>
  </si>
  <si>
    <t>ims</t>
  </si>
  <si>
    <t>regManagerPdpProfileName (In NI 5.0 or later, APN name is used instead of the profile number. Please confirm with test labs for exact APN info)</t>
  </si>
  <si>
    <t>RegEventPacket</t>
  </si>
  <si>
    <t>RegPCOEEnabled</t>
  </si>
  <si>
    <t>RegDHCPEnabled</t>
  </si>
  <si>
    <t>RegPreConfigEnabled</t>
  </si>
  <si>
    <t>regManagerPreConfigServerBase</t>
  </si>
  <si>
    <t>RegRATConfig = CONFIG_RAT_LTE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</si>
  <si>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</si>
  <si>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</si>
  <si>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</si>
  <si>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</si>
  <si>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</si>
  <si>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</si>
  <si>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</si>
  <si>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</si>
  <si>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5,5,5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</si>
  <si>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</si>
  <si>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</si>
  <si>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</si>
  <si>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</si>
  <si>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</si>
  <si>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</si>
  <si>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</si>
  <si>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SMS Configuration</t>
  </si>
  <si>
    <t>/nv/item_files/ims/qp_ims_sms_config</t>
  </si>
  <si>
    <t>smsConfigVDN</t>
  </si>
  <si>
    <t>SMSFormat</t>
  </si>
  <si>
    <t>+g.3gpp.smsip</t>
  </si>
  <si>
    <t>smsAcceptContact</t>
  </si>
  <si>
    <t xml:space="preserve"> 0x40</t>
  </si>
  <si>
    <t>smsRATMaskString</t>
  </si>
  <si>
    <t>RatMaskValue</t>
  </si>
  <si>
    <t>PhoneContextURI</t>
  </si>
  <si>
    <t>iSMSOverIPNetworkIndication</t>
  </si>
  <si>
    <t>IMS SIP Extended Configuration</t>
  </si>
  <si>
    <t>/nv/item_files/ims/qp_ims_sip_extended_0_config</t>
  </si>
  <si>
    <t>version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</si>
  <si>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</si>
  <si>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</si>
  <si>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</si>
  <si>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</si>
  <si>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</si>
  <si>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</si>
  <si>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</si>
  <si>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</si>
  <si>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</si>
  <si>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</si>
  <si>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</si>
  <si>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</si>
  <si>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</si>
  <si>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</si>
  <si>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</si>
  <si>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</si>
  <si>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</si>
  <si>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</si>
  <si>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</si>
  <si>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iTimerNatRTOValue</t>
  </si>
  <si>
    <t>iTimer_VzW</t>
  </si>
  <si>
    <t>iTimerEmergencySipRegValue</t>
  </si>
  <si>
    <t>iTimerEmergency_T1Value</t>
  </si>
  <si>
    <t>iTimerEmergency_T2Value</t>
  </si>
  <si>
    <t>iTimerEmergency_T4Value</t>
  </si>
  <si>
    <t>iTimerEmergency_TfValue</t>
  </si>
  <si>
    <t>iTimerEmergency_TJValue</t>
  </si>
  <si>
    <t>IsSecAgreeforTls</t>
  </si>
  <si>
    <t>iSipLocalTlsPort</t>
  </si>
  <si>
    <t>Timer TB Value</t>
  </si>
  <si>
    <t>iGRUUEnabled</t>
  </si>
  <si>
    <t>iTransportSwitchEnabled</t>
  </si>
  <si>
    <t>iTCPMaxBackOffTimer</t>
  </si>
  <si>
    <t>iRouteHeaderEnabled</t>
  </si>
  <si>
    <t>iGzipDecodingOutBufferMultiplier</t>
  </si>
  <si>
    <t>iTimer_TDValue</t>
  </si>
  <si>
    <t>iTimerEmergency_TDValue</t>
  </si>
  <si>
    <t>pWifiRegTimestamp</t>
  </si>
  <si>
    <t>iTimer_Tcall</t>
  </si>
  <si>
    <t>iTimer_Treg</t>
  </si>
  <si>
    <t>iTimer_TAValue</t>
  </si>
  <si>
    <t>iTimer_TEValue</t>
  </si>
  <si>
    <t>iTimer_TGValue</t>
  </si>
  <si>
    <t>iTimer_THValue</t>
  </si>
  <si>
    <t>iTimer_TIValue</t>
  </si>
  <si>
    <t>iTimer_TKValue</t>
  </si>
  <si>
    <t>iTimer_TRelResponseRetry</t>
  </si>
  <si>
    <t>reservedBytes</t>
  </si>
  <si>
    <t>IMS Operation mode</t>
  </si>
  <si>
    <t>/nv/item_files/ims/ims_operation_mode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</si>
  <si>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</si>
  <si>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</si>
  <si>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</si>
  <si>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</si>
  <si>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</si>
  <si>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</si>
  <si>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</si>
  <si>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qipcall_rtp_nb_dtmp_payload_type</t>
  </si>
  <si>
    <t>qipcall_rtp_wb_dtmf_payload_type</t>
  </si>
  <si>
    <t>MediaAttribute</t>
  </si>
  <si>
    <t>qipcall_desired_qos_strength</t>
  </si>
  <si>
    <t>iAudio_CMR_AMR_NB</t>
  </si>
  <si>
    <t>iAudio_CMR_AMR_WB</t>
  </si>
  <si>
    <t>emerg_call_cs_only</t>
  </si>
  <si>
    <t>video_media_profile_mode</t>
  </si>
  <si>
    <t>video_calls</t>
  </si>
  <si>
    <t>mobile_data</t>
  </si>
  <si>
    <t>volte_disabled</t>
  </si>
  <si>
    <t>cvo_enabled</t>
  </si>
  <si>
    <t>AudioFeatureTag</t>
  </si>
  <si>
    <t>VideoFeatureTag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</si>
  <si>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</si>
  <si>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</si>
  <si>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</si>
  <si>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</si>
  <si>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</si>
  <si>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</si>
  <si>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 xml:space="preserve">E911_CALL_TIMER </t>
  </si>
  <si>
    <t>local_upgrade_accept_timer</t>
  </si>
  <si>
    <t>eQipcall_Conference_Subscription_Type</t>
  </si>
  <si>
    <t>ReservedBytes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</si>
  <si>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</si>
  <si>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</si>
  <si>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</si>
  <si>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</si>
  <si>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</si>
  <si>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</si>
  <si>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</si>
  <si>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</si>
  <si>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</si>
  <si>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</si>
  <si>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</si>
  <si>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</si>
  <si>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qdj_time_warping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</si>
  <si>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</si>
  <si>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</si>
  <si>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</si>
  <si>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</si>
  <si>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</si>
  <si>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</si>
  <si>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</si>
  <si>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</si>
  <si>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</si>
  <si>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</si>
  <si>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</si>
  <si>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60</t>
  </si>
  <si>
    <t>qdj_default_jitter</t>
  </si>
  <si>
    <t>gmin</t>
  </si>
  <si>
    <t>tx_system_delay</t>
  </si>
  <si>
    <t>rx_system_delay</t>
  </si>
  <si>
    <t>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</si>
  <si>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</si>
  <si>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</si>
  <si>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</si>
  <si>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</si>
  <si>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</si>
  <si>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</si>
  <si>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reserved bytes</t>
  </si>
  <si>
    <t>IMS VOIP Configuration</t>
  </si>
  <si>
    <t>/nv/item_files/ims/qp_ims_voip_config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</si>
  <si>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</si>
  <si>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</si>
  <si>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</si>
  <si>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</si>
  <si>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</si>
  <si>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</si>
  <si>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</si>
  <si>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</si>
  <si>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</si>
  <si>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</si>
  <si>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</si>
  <si>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</si>
  <si>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</si>
  <si>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</si>
  <si>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</si>
  <si>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</si>
  <si>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VOIP</t>
  </si>
  <si>
    <t>/nv/item_files/ims/qp_ims_config</t>
  </si>
  <si>
    <t>tip_tir_mode</t>
  </si>
  <si>
    <t>ir_restricted_type</t>
  </si>
  <si>
    <t>OMA_DM_Services_Mask</t>
  </si>
  <si>
    <t>WFC_Status</t>
  </si>
  <si>
    <t>Call ModePreference</t>
  </si>
  <si>
    <t>ims_operation_submode</t>
  </si>
  <si>
    <t>QIPCall Is Conference Aware Mode</t>
  </si>
  <si>
    <t>/nv/item_files/ims/qipcall_is_conference_aware</t>
  </si>
  <si>
    <t>QIPCall QoS Enabled</t>
  </si>
  <si>
    <t>/nv/item_files/ims/qipcall_qos_enabled</t>
  </si>
  <si>
    <t>QIPCall Precondition Enabled</t>
  </si>
  <si>
    <t>/nv/item_files/ims/qipcall_precondition_enable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</si>
  <si>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</si>
  <si>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</si>
  <si>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</si>
  <si>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</si>
  <si>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</si>
  <si>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QIPCall Domain Selection Enabled</t>
  </si>
  <si>
    <t>/nv/item_files/ims/qipcall_domain_selection_enable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</si>
  <si>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</si>
  <si>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</si>
  <si>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</si>
  <si>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</si>
  <si>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</si>
  <si>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</si>
  <si>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QIPCall HD Voice Enabled</t>
  </si>
  <si>
    <t>/nv/item_files/ims/qipcall_enable_hd_voice</t>
  </si>
  <si>
    <t>QIPCall Session Level Media BW Enabled</t>
  </si>
  <si>
    <t>/nv/item_files/ims/qipcall_session_level_media_bw_enabled</t>
  </si>
  <si>
    <t>QIPCall Codec Mode Set</t>
  </si>
  <si>
    <t>/nv/item_files/ims/qipcall_codec_mode_set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</si>
  <si>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</si>
  <si>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</si>
  <si>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</si>
  <si>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</si>
  <si>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</si>
  <si>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</si>
  <si>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qipcall_signal_strength_threshold</t>
  </si>
  <si>
    <t>/nv/item_files/ims/qipcall_signal_strength_threshold</t>
  </si>
  <si>
    <t>IMS VT 4G Media Capability</t>
  </si>
  <si>
    <t>/nv/item_files/ims/qp_ims_vt_4G_media_capability</t>
  </si>
  <si>
    <t>iH263_preferred_frame_rate</t>
  </si>
  <si>
    <t>iH263_preferred_bit_rate</t>
  </si>
  <si>
    <t>iH263_preferred_resolution</t>
  </si>
  <si>
    <t>iH263_preferred_profile_level</t>
  </si>
  <si>
    <t>iH263_min_frame_rate</t>
  </si>
  <si>
    <t>iH263_max_frame_rate</t>
  </si>
  <si>
    <t>iH263_min_bit_rate</t>
  </si>
  <si>
    <t>iH263_max_bit_rate</t>
  </si>
  <si>
    <t>iH263_resolutions_supported</t>
  </si>
  <si>
    <t>iH263_profile_levels_supported</t>
  </si>
  <si>
    <t>iH263_profile</t>
  </si>
  <si>
    <t>Reserved[15]</t>
  </si>
  <si>
    <t>iH264_preferred_frame_rate</t>
  </si>
  <si>
    <t>iH264_preferred_bit_rate</t>
  </si>
  <si>
    <t>iH264_preferred_resolution</t>
  </si>
  <si>
    <t>iH264_preferred_profile_level</t>
  </si>
  <si>
    <t>iH264_min_frame_rate</t>
  </si>
  <si>
    <t>iH264_max_frame_rate</t>
  </si>
  <si>
    <t>iH264_min_bit_rate</t>
  </si>
  <si>
    <t>iH264_max_bit_rate</t>
  </si>
  <si>
    <t>iH264_resolutions_supported</t>
  </si>
  <si>
    <t>iH264_profile_levels_supported</t>
  </si>
  <si>
    <t>iH264_profile</t>
  </si>
  <si>
    <t>Reserved[511]</t>
  </si>
  <si>
    <t>qp_ims_rcs_xdmc_config</t>
  </si>
  <si>
    <t>/nv/item_files/ims/qp_ims_rcs_xdmc_config</t>
  </si>
  <si>
    <t>73687(1024)</t>
  </si>
  <si>
    <t>DisableXdmc</t>
  </si>
  <si>
    <t>XdmcApnNAme</t>
  </si>
  <si>
    <t>XdmcApnType</t>
  </si>
  <si>
    <t>XdmcIPAddrType</t>
  </si>
  <si>
    <t>XdmcRatConfig</t>
  </si>
  <si>
    <t>XdmcRatMaskValue</t>
  </si>
  <si>
    <t>XdmcPDNHysTimerValue</t>
  </si>
  <si>
    <t>XdmcGBAUbMode</t>
  </si>
  <si>
    <t>UbTIsSupport</t>
  </si>
  <si>
    <t>XdmcBSFAddr</t>
  </si>
  <si>
    <t>XdmcPresenceAppUID</t>
  </si>
  <si>
    <t>XdmcIPAddrType_APN2</t>
  </si>
  <si>
    <t>XdmcAPNName_APN2</t>
  </si>
  <si>
    <t>XCAPRootURI</t>
  </si>
  <si>
    <t>XCAPAuthUserName</t>
  </si>
  <si>
    <t>XAPAuthSecret</t>
  </si>
  <si>
    <t>XCAPAuthType</t>
  </si>
  <si>
    <t>Revoke Timer</t>
  </si>
  <si>
    <t>PnBEnabled</t>
  </si>
  <si>
    <t>XdmcDocChangesSubEnabled</t>
  </si>
  <si>
    <t>XdmcUserAgent</t>
  </si>
  <si>
    <t>eXdmcGBATLSMode</t>
  </si>
  <si>
    <t>iXdmcServerPort_TLS</t>
  </si>
  <si>
    <t>Reserved Bytes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</si>
  <si>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</si>
  <si>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</si>
  <si>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</si>
  <si>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</si>
  <si>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</si>
  <si>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</si>
  <si>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</si>
  <si>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</si>
  <si>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</si>
  <si>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</si>
  <si>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</si>
  <si>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</si>
  <si>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</si>
  <si>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</si>
  <si>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</si>
  <si>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</si>
  <si>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</si>
  <si>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</si>
  <si>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</si>
  <si>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</si>
  <si>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</si>
  <si>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</si>
  <si>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</si>
  <si>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</si>
  <si>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</si>
  <si>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</si>
  <si>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</si>
  <si>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</si>
  <si>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</si>
  <si>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</si>
  <si>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</si>
  <si>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</si>
  <si>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</si>
  <si>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</si>
  <si>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</si>
  <si>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</si>
  <si>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</si>
  <si>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</si>
  <si>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</si>
  <si>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</si>
  <si>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</si>
  <si>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</si>
  <si>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</si>
  <si>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</si>
  <si>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</si>
  <si>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</si>
  <si>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</si>
  <si>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</si>
  <si>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</si>
  <si>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</si>
  <si>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</si>
  <si>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</si>
  <si>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</si>
  <si>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</si>
  <si>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</si>
  <si>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</si>
  <si>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</si>
  <si>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</si>
  <si>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</si>
  <si>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</si>
  <si>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</si>
  <si>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</si>
  <si>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</si>
  <si>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</si>
  <si>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</si>
  <si>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</si>
  <si>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</si>
  <si>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</si>
  <si>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</si>
  <si>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</si>
  <si>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</si>
  <si>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</si>
  <si>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</si>
  <si>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</si>
  <si>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</si>
  <si>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</si>
  <si>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</si>
  <si>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</si>
  <si>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</si>
  <si>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</si>
  <si>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</si>
  <si>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</si>
  <si>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</si>
  <si>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</si>
  <si>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</si>
  <si>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</si>
  <si>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</si>
  <si>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</si>
  <si>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</si>
  <si>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</si>
  <si>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</si>
  <si>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</si>
  <si>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</si>
  <si>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</si>
  <si>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</si>
  <si>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</si>
  <si>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</si>
  <si>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</si>
  <si>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</si>
  <si>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</si>
  <si>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</si>
  <si>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vowifi</t>
  </si>
  <si>
    <t>ims_apn_name_db[0].cAPNName</t>
  </si>
  <si>
    <t>ims_apn_name_db[1].cAPNName</t>
  </si>
  <si>
    <t>ims_apn_name_db[2].cAPNName</t>
  </si>
  <si>
    <t>QIPCall QoS Reservation Timer</t>
  </si>
  <si>
    <t>/nv/item_files/ims/qipcall_qos_reservation_timer</t>
  </si>
  <si>
    <t>IMS QP USSD Config</t>
  </si>
  <si>
    <t>/nv/item_files/ims/qp_ims_ussd_config</t>
  </si>
  <si>
    <t>USSDEnable</t>
  </si>
  <si>
    <t>IMS Regmanager Extended Configuration</t>
  </si>
  <si>
    <t>/nv/item_files/ims/qp_ims_reg_extended_0_config</t>
  </si>
  <si>
    <t>RegConfigNetworkInitiatedDeRegTimer</t>
  </si>
  <si>
    <t>Tdelay</t>
  </si>
  <si>
    <t>iEmerIPFallback</t>
  </si>
  <si>
    <t>RegConfigPdnRecoveryImmediateTimer</t>
  </si>
  <si>
    <t>iRegRetryBaseTime</t>
  </si>
  <si>
    <t>iRegRetryMaxTime</t>
  </si>
  <si>
    <t>eEnableRegInLPM</t>
  </si>
  <si>
    <t>ReservedBytes[1011]</t>
  </si>
  <si>
    <t>IMS Handover Config</t>
  </si>
  <si>
    <t>/nv/item_files/ims/ims_rat_ho_config</t>
  </si>
  <si>
    <t>ims_ho_hys_timer_ePDG_LTE</t>
  </si>
  <si>
    <t>ims_ho_hys_timer_ePDG_1x</t>
  </si>
  <si>
    <t>ims_ho_hys_timer_ePDG_Wifi</t>
  </si>
  <si>
    <t>ims_ho_enabled</t>
  </si>
  <si>
    <t>ims_drvcc_enable</t>
  </si>
  <si>
    <t>ims_drvcc_roaming_enabled</t>
  </si>
  <si>
    <t>ims_Drvcc_backoff_timer_max</t>
  </si>
  <si>
    <t>ims_Drvcc_backoff_timer_min</t>
  </si>
  <si>
    <t>ims_stn</t>
  </si>
  <si>
    <t>ims_ho_lte_qual_th1</t>
  </si>
  <si>
    <t>ims_ho_lte_qual_th2</t>
  </si>
  <si>
    <t>ims_ho_lte_qual_th3</t>
  </si>
  <si>
    <t>ims_ho_l1xqual_th</t>
  </si>
  <si>
    <t>ims_ho_wifi_qual_thA</t>
  </si>
  <si>
    <t>ims_ho_wifi_qual_thB</t>
  </si>
  <si>
    <t>reservedbytes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</si>
  <si>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</si>
  <si>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</si>
  <si>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</si>
  <si>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</si>
  <si>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</si>
  <si>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</si>
  <si>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</si>
  <si>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QIPCALL VT Quality Selector</t>
  </si>
  <si>
    <t>/nv/item_files/ims/qipcall_vt_quality_selector</t>
  </si>
  <si>
    <t>QIPCALL QOS config items</t>
  </si>
  <si>
    <t>/nv/item_files/ims/qipcall_qos_config</t>
  </si>
  <si>
    <t>LocalQoSAudio</t>
  </si>
  <si>
    <t>LocalQosVideo</t>
  </si>
  <si>
    <t>imshandoverconfig</t>
  </si>
  <si>
    <t>/efsprofiles/imshandoverconfig</t>
  </si>
  <si>
    <t>modem_proc\mcfg\mcfg_gen\scripts\data\efs_files\sprint\imshandoverconfig</t>
  </si>
  <si>
    <t>IMS NV updates for DRVCC</t>
  </si>
  <si>
    <t>Sprint:0x0501020C</t>
  </si>
  <si>
    <t>Sprint:0x0501020D</t>
  </si>
  <si>
    <t>NV850 Removed</t>
  </si>
  <si>
    <t>Profile update</t>
  </si>
  <si>
    <t>Sprint:0x0501020E</t>
  </si>
  <si>
    <t>3GPP2 Profile 0</t>
  </si>
  <si>
    <t>/Data_Profiles/Profile0</t>
  </si>
  <si>
    <t>3GPP Profile 1</t>
  </si>
  <si>
    <t>3GPP Profile 2</t>
  </si>
  <si>
    <t>/Data_Profiles/Profile2</t>
  </si>
  <si>
    <t>"IPV4V6","wap","0.0.0.0",0,0</t>
  </si>
  <si>
    <t xml:space="preserve"> +CGDCONT: 1,"IPV4V6","n.ispsn","0.0.0.0",0,0</t>
  </si>
  <si>
    <t>3GPP2 Ignore Last PDN Inactivity Timer</t>
  </si>
  <si>
    <t>/nv/item_files/data/3gpp2/ignore_last_pdn_ia_timer</t>
  </si>
  <si>
    <t>IMS Handover config file updated</t>
  </si>
  <si>
    <t>Sprint:0x0501020F</t>
  </si>
  <si>
    <t>Sprint:0x05010200</t>
  </si>
  <si>
    <t>MCFG Updates</t>
  </si>
  <si>
    <t>removal of NV 3446 from all sw_mbn</t>
  </si>
  <si>
    <t>ims handoverconfig updates</t>
  </si>
  <si>
    <t>Sprint:0x05010201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</si>
  <si>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</si>
  <si>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</si>
  <si>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</si>
  <si>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</si>
  <si>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</si>
  <si>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</si>
  <si>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</si>
  <si>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</si>
  <si>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MCFG_capability_type</t>
  </si>
  <si>
    <t>MCFG_capability_Length</t>
  </si>
  <si>
    <t>MCFG_capability_values</t>
  </si>
  <si>
    <t>0x00000000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</si>
  <si>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</si>
  <si>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310-480</t>
  </si>
  <si>
    <t>Sprint:0x05010202</t>
  </si>
  <si>
    <t>MCFG: Update North American ROW MBN for MCC/MNC selection</t>
  </si>
  <si>
    <t>NV#4396(NV_DS_MIP_DEREG_RETRIES_I) set to 0</t>
  </si>
  <si>
    <t>Sprint:0x05010203</t>
  </si>
  <si>
    <t>NV 65956 set to 0</t>
  </si>
  <si>
    <t>Sprint:0x05010205</t>
  </si>
  <si>
    <t>conf@vowifi2.ims.spcsdns.net</t>
  </si>
  <si>
    <t>NV 67257 conf uri set to conf@vowifi2.ims.spcsdns.net</t>
  </si>
  <si>
    <t>Sprint:0x05010206</t>
  </si>
  <si>
    <t>NV 67257 silent redial set to 1</t>
  </si>
  <si>
    <t>NV69744 Update</t>
  </si>
  <si>
    <t>NV 69744 TimerSipRegValue to 3600</t>
  </si>
  <si>
    <t>Sprint:0x05010207</t>
  </si>
  <si>
    <t>Sprint:0x05010208</t>
  </si>
  <si>
    <t>Sprint:0x0501020A</t>
  </si>
  <si>
    <t>ds_cam_config</t>
  </si>
  <si>
    <t>/eHRPD/ds_cam_config.txt</t>
  </si>
  <si>
    <t>modem_proc\mcfg\mcfg_gen\scripts\data\efs_files\sprint\ds_cam_config.txt</t>
  </si>
  <si>
    <t>Add ds_cam_config.txt to MBN</t>
  </si>
  <si>
    <t>Added ds_cam_config.txt</t>
  </si>
  <si>
    <t>WLAN Offload config NV</t>
  </si>
  <si>
    <t>/nv/item_files/data/wlan_config/wlan_offload_config</t>
  </si>
  <si>
    <t>1X to LTE handup Enabled</t>
  </si>
  <si>
    <t>/nv/item_files/data/3gpp2/1x_to_LTE_handup_enabled</t>
  </si>
  <si>
    <t>3GPP Profile 3</t>
  </si>
  <si>
    <t>3GPP Profile 4</t>
  </si>
  <si>
    <t>/Data_Profiles/Profile3</t>
  </si>
  <si>
    <t>/Data_Profiles/Profile4</t>
  </si>
  <si>
    <t>"IPV4V6","vowifi","0.0.0.0",1,0</t>
  </si>
  <si>
    <t>"IPV4V6","sos","0.0.0.0",1,1</t>
  </si>
  <si>
    <t>modem_proc\mcfg\mcfg_gen\scripts\data\efs_files\sprint\Profile0</t>
  </si>
  <si>
    <t>modem_proc\mcfg\mcfg_gen\scripts\data\efs_files\sprint\Profile1</t>
  </si>
  <si>
    <t>modem_proc\mcfg\mcfg_gen\scripts\data\efs_files\sprint\Profile2</t>
  </si>
  <si>
    <t>modem_proc\mcfg\mcfg_gen\scripts\data\efs_files\sprint\Profile3</t>
  </si>
  <si>
    <t>modem_proc\mcfg\mcfg_gen\scripts\data\efs_files\sprint\Profile4</t>
  </si>
  <si>
    <t>ds_dsd_attach_profile</t>
  </si>
  <si>
    <t>modem_proc\mcfg\mcfg_gen\scripts\data\efs_files\sprint\ds_dsd_attach_profile.txt</t>
  </si>
  <si>
    <t>/data/ds_dsd_attach_profile.txt</t>
  </si>
  <si>
    <t>andsf</t>
  </si>
  <si>
    <t>modem_proc\mcfg\mcfg_gen\scripts\data\efs_files\sprint\andsf.xml</t>
  </si>
  <si>
    <t>/data/andsf.xml</t>
  </si>
  <si>
    <t>default_andsf.xml</t>
  </si>
  <si>
    <t>/data/default_andsf.xml</t>
  </si>
  <si>
    <t>modem_proc\mcfg\mcfg_gen\scripts\data\efs_files\sprint\default_andsf.xml</t>
  </si>
  <si>
    <t>/data/iwlan_s2b_config.txt</t>
  </si>
  <si>
    <t>modem_proc\mcfg\mcfg_gen\scripts\data\efs_files\sprint\iwlan_s2b_config.txt</t>
  </si>
  <si>
    <t>modem_proc\mcfg\mcfg_gen\scripts\data\efs_files\sprint\ds_andsf_config.txt</t>
  </si>
  <si>
    <t>/data/ds_andsf_config.txt</t>
  </si>
  <si>
    <t>ds_andsf_config</t>
  </si>
  <si>
    <t>iwlan_s2b_config</t>
  </si>
  <si>
    <t>3GPP2 Profile 100</t>
  </si>
  <si>
    <t>/Data_Profiles/Profile100</t>
  </si>
  <si>
    <t>modem_proc\mcfg\mcfg_gen\scripts\data\efs_files\sprint\Profile100</t>
  </si>
  <si>
    <t>"IPV4V6","ims"</t>
  </si>
  <si>
    <t>/nv/item_files/data/3gpp2/mip_fail_do_sess_close</t>
  </si>
  <si>
    <t>MCFG Attribute set to 0x19 for all IMS NVs</t>
  </si>
  <si>
    <t>Expand NV blacklist in generation scripts</t>
  </si>
  <si>
    <t>Commercial: 0x05010203</t>
  </si>
  <si>
    <t>0x05010203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</si>
</sst>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98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Arial"/>
      <family val="2"/>
    </font>
    <font>
      <sz val="7"/>
      <name val="Arial"/>
      <family val="2"/>
    </font>
    <font>
      <u/>
      <sz val="10"/>
      <color indexed="12"/>
      <name val="Arial"/>
      <family val="2"/>
    </font>
    <font>
      <sz val="11"/>
      <name val="Arial"/>
      <family val="2"/>
    </font>
    <font>
      <b/>
      <sz val="11"/>
      <color theme="1"/>
      <name val="Gill Sans MT"/>
      <family val="2"/>
      <scheme val="minor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1"/>
      <color theme="1" tint="0.249977111117893"/>
      <name val="Gill Sans MT"/>
      <family val="2"/>
      <scheme val="minor"/>
    </font>
    <font>
      <b/>
      <sz val="12"/>
      <color theme="1"/>
      <name val="Gill Sans MT"/>
      <family val="2"/>
      <scheme val="minor"/>
    </font>
    <font>
      <sz val="12"/>
      <color theme="1"/>
      <name val="Arial"/>
      <family val="2"/>
    </font>
    <font>
      <sz val="12"/>
      <color theme="1"/>
      <name val="Gill Sans MT"/>
      <family val="2"/>
      <scheme val="minor"/>
    </font>
    <font>
      <b/>
      <sz val="11"/>
      <color theme="1"/>
      <name val="Gill Sans MT"/>
      <family val="2"/>
    </font>
    <font>
      <sz val="7"/>
      <color theme="1"/>
      <name val="Arial"/>
      <family val="2"/>
    </font>
    <font>
      <b/>
      <sz val="11"/>
      <name val="Gill Sans MT"/>
      <family val="2"/>
      <scheme val="minor"/>
    </font>
    <font>
      <sz val="11"/>
      <color rgb="FF002060"/>
      <name val="Gill Sans MT"/>
      <family val="2"/>
      <scheme val="minor"/>
    </font>
    <font>
      <sz val="10"/>
      <color rgb="FF002060"/>
      <name val="Arial"/>
      <family val="2"/>
    </font>
    <font>
      <u/>
      <sz val="10"/>
      <name val="Arial"/>
      <family val="2"/>
    </font>
    <font>
      <sz val="8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rgb="FF999999"/>
      </top>
      <bottom style="thick">
        <color rgb="FF666666"/>
      </bottom>
      <diagonal/>
    </border>
    <border>
      <left style="thin">
        <color indexed="64"/>
      </left>
      <right style="thin">
        <color indexed="64"/>
      </right>
      <top style="medium">
        <color rgb="FF999999"/>
      </top>
      <bottom style="thick">
        <color rgb="FF666666"/>
      </bottom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thick">
        <color rgb="FF666666"/>
      </bottom>
      <diagonal/>
    </border>
    <border>
      <left style="thin">
        <color indexed="64"/>
      </left>
      <right/>
      <top/>
      <bottom style="medium">
        <color rgb="FF999999"/>
      </bottom>
      <diagonal/>
    </border>
    <border>
      <left style="thin">
        <color indexed="64"/>
      </left>
      <right style="thin">
        <color indexed="64"/>
      </right>
      <top/>
      <bottom style="medium">
        <color rgb="FF999999"/>
      </bottom>
      <diagonal/>
    </border>
    <border>
      <left style="medium">
        <color rgb="FF999999"/>
      </left>
      <right style="medium">
        <color rgb="FF999999"/>
      </right>
      <top/>
      <bottom style="medium">
        <color rgb="FF999999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61887">
    <xf numFmtId="0" fontId="0" fillId="0" borderId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69" fillId="0" borderId="0"/>
    <xf numFmtId="49" fontId="74" fillId="0" borderId="30" applyNumberFormat="0" applyFont="0" applyFill="0" applyAlignment="0" applyProtection="0">
      <alignment horizontal="center" vertical="center"/>
      <protection locked="0"/>
    </xf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69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1" fontId="81" fillId="0" borderId="35" applyNumberFormat="0" applyFont="0" applyAlignment="0" applyProtection="0">
      <alignment horizontal="center" vertical="center"/>
      <protection locked="0"/>
    </xf>
    <xf numFmtId="0" fontId="69" fillId="0" borderId="0"/>
    <xf numFmtId="0" fontId="9" fillId="0" borderId="0"/>
    <xf numFmtId="164" fontId="67" fillId="0" borderId="0" applyBorder="0"/>
    <xf numFmtId="164" fontId="82" fillId="0" borderId="0" applyNumberFormat="0" applyFill="0" applyBorder="0" applyAlignment="0" applyProtection="0">
      <alignment vertical="top"/>
      <protection locked="0"/>
    </xf>
    <xf numFmtId="0" fontId="69" fillId="0" borderId="0"/>
    <xf numFmtId="165" fontId="67" fillId="0" borderId="0" applyFont="0" applyFill="0" applyBorder="0" applyAlignment="0" applyProtection="0"/>
    <xf numFmtId="166" fontId="67" fillId="0" borderId="0" applyFont="0" applyFill="0" applyBorder="0" applyAlignment="0" applyProtection="0"/>
    <xf numFmtId="0" fontId="74" fillId="8" borderId="36">
      <alignment horizontal="center" vertical="center"/>
    </xf>
    <xf numFmtId="0" fontId="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0" fontId="69" fillId="7" borderId="34" applyNumberFormat="0" applyFont="0" applyAlignment="0" applyProtection="0"/>
    <xf numFmtId="167" fontId="67" fillId="0" borderId="0" applyFont="0" applyFill="0" applyBorder="0" applyAlignment="0" applyProtection="0"/>
    <xf numFmtId="168" fontId="67" fillId="0" borderId="0" applyFont="0" applyFill="0" applyBorder="0" applyAlignment="0" applyProtection="0"/>
    <xf numFmtId="164" fontId="67" fillId="0" borderId="0" applyBorder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85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69" fillId="0" borderId="0"/>
    <xf numFmtId="0" fontId="2" fillId="5" borderId="0" applyNumberFormat="0" applyBorder="0" applyAlignment="0" applyProtection="0"/>
    <xf numFmtId="0" fontId="2" fillId="0" borderId="0"/>
  </cellStyleXfs>
  <cellXfs count="235">
    <xf numFmtId="0" fontId="0" fillId="0" borderId="0" xfId="0"/>
    <xf numFmtId="0" fontId="58" fillId="0" borderId="0" xfId="0" applyFont="1"/>
    <xf numFmtId="0" fontId="59" fillId="0" borderId="0" xfId="0" applyFont="1"/>
    <xf numFmtId="0" fontId="60" fillId="0" borderId="0" xfId="0" applyFont="1" applyFill="1" applyAlignment="1">
      <alignment horizontal="right"/>
    </xf>
    <xf numFmtId="0" fontId="59" fillId="0" borderId="12" xfId="0" applyFont="1" applyBorder="1" applyAlignment="1">
      <alignment horizontal="left" indent="1"/>
    </xf>
    <xf numFmtId="0" fontId="58" fillId="2" borderId="8" xfId="0" applyFont="1" applyFill="1" applyBorder="1" applyAlignment="1">
      <alignment horizontal="center"/>
    </xf>
    <xf numFmtId="0" fontId="61" fillId="0" borderId="0" xfId="0" applyFont="1" applyFill="1" applyAlignment="1">
      <alignment horizontal="left"/>
    </xf>
    <xf numFmtId="0" fontId="62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5" fillId="0" borderId="12" xfId="0" applyFont="1" applyBorder="1" applyAlignment="1">
      <alignment horizontal="left" indent="1"/>
    </xf>
    <xf numFmtId="0" fontId="60" fillId="0" borderId="0" xfId="0" applyFont="1" applyAlignment="1">
      <alignment horizontal="right"/>
    </xf>
    <xf numFmtId="0" fontId="67" fillId="0" borderId="0" xfId="0" applyFont="1" applyBorder="1"/>
    <xf numFmtId="0" fontId="65" fillId="0" borderId="15" xfId="0" applyFont="1" applyBorder="1" applyAlignment="1">
      <alignment horizontal="left" indent="1"/>
    </xf>
    <xf numFmtId="0" fontId="65" fillId="0" borderId="15" xfId="0" applyFont="1" applyBorder="1"/>
    <xf numFmtId="0" fontId="58" fillId="0" borderId="0" xfId="0" applyFont="1" applyAlignment="1">
      <alignment horizontal="left" indent="1"/>
    </xf>
    <xf numFmtId="0" fontId="72" fillId="0" borderId="0" xfId="0" applyFont="1"/>
    <xf numFmtId="0" fontId="61" fillId="4" borderId="3" xfId="0" applyFont="1" applyFill="1" applyBorder="1" applyAlignment="1">
      <alignment horizontal="centerContinuous"/>
    </xf>
    <xf numFmtId="14" fontId="75" fillId="0" borderId="0" xfId="0" applyNumberFormat="1" applyFont="1" applyFill="1" applyAlignment="1">
      <alignment horizontal="left" indent="1"/>
    </xf>
    <xf numFmtId="0" fontId="75" fillId="0" borderId="0" xfId="0" applyFont="1" applyFill="1" applyAlignment="1">
      <alignment horizontal="left" indent="1"/>
    </xf>
    <xf numFmtId="0" fontId="65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64" fillId="0" borderId="0" xfId="0" applyFont="1" applyAlignment="1"/>
    <xf numFmtId="0" fontId="0" fillId="0" borderId="0" xfId="0" applyAlignment="1"/>
    <xf numFmtId="0" fontId="58" fillId="0" borderId="0" xfId="0" applyFont="1" applyAlignment="1"/>
    <xf numFmtId="0" fontId="58" fillId="2" borderId="8" xfId="0" applyFont="1" applyFill="1" applyBorder="1" applyAlignment="1">
      <alignment horizontal="left"/>
    </xf>
    <xf numFmtId="0" fontId="59" fillId="0" borderId="0" xfId="0" applyFont="1" applyAlignment="1"/>
    <xf numFmtId="0" fontId="0" fillId="0" borderId="0" xfId="0" applyAlignment="1">
      <alignment horizontal="left"/>
    </xf>
    <xf numFmtId="0" fontId="58" fillId="0" borderId="0" xfId="0" applyFont="1"/>
    <xf numFmtId="0" fontId="59" fillId="0" borderId="12" xfId="0" applyFont="1" applyBorder="1" applyAlignment="1">
      <alignment horizontal="left" indent="1"/>
    </xf>
    <xf numFmtId="0" fontId="58" fillId="2" borderId="14" xfId="0" applyFont="1" applyFill="1" applyBorder="1" applyAlignment="1">
      <alignment horizontal="left" indent="1"/>
    </xf>
    <xf numFmtId="0" fontId="65" fillId="0" borderId="18" xfId="0" applyFont="1" applyBorder="1" applyAlignment="1">
      <alignment horizontal="left" indent="1"/>
    </xf>
    <xf numFmtId="0" fontId="67" fillId="0" borderId="0" xfId="0" applyFont="1"/>
    <xf numFmtId="0" fontId="58" fillId="2" borderId="7" xfId="0" applyFont="1" applyFill="1" applyBorder="1" applyAlignment="1">
      <alignment horizontal="left" indent="1"/>
    </xf>
    <xf numFmtId="0" fontId="58" fillId="2" borderId="6" xfId="0" applyFont="1" applyFill="1" applyBorder="1" applyAlignment="1">
      <alignment horizontal="left" indent="1"/>
    </xf>
    <xf numFmtId="0" fontId="65" fillId="0" borderId="18" xfId="0" applyFont="1" applyBorder="1"/>
    <xf numFmtId="0" fontId="0" fillId="0" borderId="0" xfId="0" applyFont="1"/>
    <xf numFmtId="0" fontId="61" fillId="4" borderId="3" xfId="0" applyFont="1" applyFill="1" applyBorder="1" applyAlignment="1">
      <alignment horizontal="centerContinuous"/>
    </xf>
    <xf numFmtId="0" fontId="67" fillId="0" borderId="19" xfId="0" applyFont="1" applyBorder="1" applyAlignment="1">
      <alignment horizontal="left" wrapText="1" indent="1"/>
    </xf>
    <xf numFmtId="0" fontId="65" fillId="0" borderId="10" xfId="0" applyFont="1" applyFill="1" applyBorder="1" applyAlignment="1">
      <alignment horizontal="left" wrapText="1" indent="1"/>
    </xf>
    <xf numFmtId="0" fontId="65" fillId="0" borderId="0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66" fillId="0" borderId="0" xfId="0" applyFont="1" applyBorder="1" applyAlignment="1">
      <alignment horizontal="left" indent="1"/>
    </xf>
    <xf numFmtId="0" fontId="73" fillId="0" borderId="0" xfId="0" applyFont="1"/>
    <xf numFmtId="0" fontId="63" fillId="3" borderId="0" xfId="0" applyFont="1" applyFill="1" applyAlignment="1">
      <alignment horizontal="centerContinuous" vertical="center"/>
    </xf>
    <xf numFmtId="0" fontId="0" fillId="0" borderId="0" xfId="0"/>
    <xf numFmtId="0" fontId="59" fillId="0" borderId="0" xfId="0" applyFont="1"/>
    <xf numFmtId="0" fontId="65" fillId="0" borderId="12" xfId="0" applyFont="1" applyFill="1" applyBorder="1" applyAlignment="1">
      <alignment horizontal="center"/>
    </xf>
    <xf numFmtId="14" fontId="65" fillId="0" borderId="18" xfId="0" applyNumberFormat="1" applyFont="1" applyFill="1" applyBorder="1" applyAlignment="1">
      <alignment horizontal="left" indent="1"/>
    </xf>
    <xf numFmtId="0" fontId="67" fillId="0" borderId="19" xfId="0" applyFont="1" applyBorder="1" applyAlignment="1">
      <alignment wrapText="1"/>
    </xf>
    <xf numFmtId="0" fontId="65" fillId="0" borderId="10" xfId="0" applyFont="1" applyBorder="1" applyAlignment="1">
      <alignment horizontal="left" indent="1"/>
    </xf>
    <xf numFmtId="0" fontId="65" fillId="0" borderId="0" xfId="0" applyFont="1" applyFill="1" applyBorder="1" applyAlignment="1">
      <alignment horizontal="left" wrapText="1"/>
    </xf>
    <xf numFmtId="0" fontId="65" fillId="0" borderId="10" xfId="3" applyFont="1" applyFill="1" applyBorder="1" applyAlignment="1">
      <alignment horizontal="left" wrapText="1" indent="1"/>
    </xf>
    <xf numFmtId="0" fontId="76" fillId="0" borderId="0" xfId="0" applyFont="1"/>
    <xf numFmtId="0" fontId="77" fillId="2" borderId="14" xfId="0" applyFont="1" applyFill="1" applyBorder="1" applyAlignment="1">
      <alignment horizontal="left" indent="1"/>
    </xf>
    <xf numFmtId="0" fontId="77" fillId="0" borderId="0" xfId="0" applyFont="1"/>
    <xf numFmtId="0" fontId="67" fillId="0" borderId="0" xfId="0" applyFont="1" applyAlignment="1">
      <alignment wrapText="1"/>
    </xf>
    <xf numFmtId="0" fontId="77" fillId="2" borderId="23" xfId="0" applyFont="1" applyFill="1" applyBorder="1" applyAlignment="1">
      <alignment horizontal="left" indent="1"/>
    </xf>
    <xf numFmtId="0" fontId="77" fillId="2" borderId="7" xfId="0" applyFont="1" applyFill="1" applyBorder="1" applyAlignment="1">
      <alignment horizontal="left" indent="1"/>
    </xf>
    <xf numFmtId="0" fontId="65" fillId="0" borderId="10" xfId="1896" applyFont="1" applyFill="1" applyBorder="1" applyAlignment="1">
      <alignment horizontal="left" wrapText="1" indent="1"/>
    </xf>
    <xf numFmtId="0" fontId="70" fillId="5" borderId="11" xfId="61738" applyFont="1" applyBorder="1" applyAlignment="1">
      <alignment horizontal="left" indent="1"/>
    </xf>
    <xf numFmtId="0" fontId="70" fillId="5" borderId="4" xfId="61738" applyFont="1" applyBorder="1" applyAlignment="1">
      <alignment horizontal="left" wrapText="1"/>
    </xf>
    <xf numFmtId="0" fontId="77" fillId="2" borderId="7" xfId="0" applyFont="1" applyFill="1" applyBorder="1" applyAlignment="1">
      <alignment horizontal="left" wrapText="1"/>
    </xf>
    <xf numFmtId="0" fontId="78" fillId="4" borderId="5" xfId="0" applyFont="1" applyFill="1" applyBorder="1" applyAlignment="1">
      <alignment horizontal="centerContinuous"/>
    </xf>
    <xf numFmtId="0" fontId="78" fillId="4" borderId="6" xfId="0" applyFont="1" applyFill="1" applyBorder="1" applyAlignment="1">
      <alignment horizontal="centerContinuous"/>
    </xf>
    <xf numFmtId="0" fontId="78" fillId="4" borderId="6" xfId="0" applyFont="1" applyFill="1" applyBorder="1" applyAlignment="1">
      <alignment horizontal="centerContinuous" wrapText="1"/>
    </xf>
    <xf numFmtId="0" fontId="78" fillId="4" borderId="7" xfId="0" applyFont="1" applyFill="1" applyBorder="1" applyAlignment="1">
      <alignment horizontal="centerContinuous"/>
    </xf>
    <xf numFmtId="0" fontId="63" fillId="3" borderId="0" xfId="0" applyFont="1" applyFill="1" applyAlignment="1">
      <alignment horizontal="center" vertical="center"/>
    </xf>
    <xf numFmtId="0" fontId="65" fillId="0" borderId="13" xfId="0" applyFont="1" applyBorder="1" applyAlignment="1">
      <alignment horizontal="left" indent="1"/>
    </xf>
    <xf numFmtId="0" fontId="77" fillId="2" borderId="9" xfId="0" applyFont="1" applyFill="1" applyBorder="1" applyAlignment="1">
      <alignment horizontal="left" indent="1"/>
    </xf>
    <xf numFmtId="0" fontId="80" fillId="0" borderId="0" xfId="0" applyFont="1"/>
    <xf numFmtId="0" fontId="70" fillId="5" borderId="18" xfId="61738" applyFont="1" applyBorder="1" applyAlignment="1">
      <alignment horizontal="left" indent="1"/>
    </xf>
    <xf numFmtId="0" fontId="70" fillId="5" borderId="10" xfId="61738" applyFont="1" applyBorder="1" applyAlignment="1">
      <alignment horizontal="left" indent="1"/>
    </xf>
    <xf numFmtId="0" fontId="70" fillId="5" borderId="2" xfId="61738" applyFont="1" applyBorder="1" applyAlignment="1">
      <alignment horizontal="left" wrapText="1"/>
    </xf>
    <xf numFmtId="0" fontId="70" fillId="5" borderId="15" xfId="61738" applyFont="1" applyBorder="1" applyAlignment="1">
      <alignment horizontal="left" indent="1"/>
    </xf>
    <xf numFmtId="0" fontId="65" fillId="0" borderId="27" xfId="0" applyFont="1" applyBorder="1"/>
    <xf numFmtId="0" fontId="65" fillId="0" borderId="27" xfId="0" applyFont="1" applyBorder="1" applyAlignment="1">
      <alignment wrapText="1"/>
    </xf>
    <xf numFmtId="0" fontId="78" fillId="4" borderId="31" xfId="0" applyFont="1" applyFill="1" applyBorder="1" applyAlignment="1">
      <alignment horizontal="centerContinuous"/>
    </xf>
    <xf numFmtId="0" fontId="78" fillId="4" borderId="32" xfId="0" applyFont="1" applyFill="1" applyBorder="1" applyAlignment="1">
      <alignment horizontal="centerContinuous"/>
    </xf>
    <xf numFmtId="0" fontId="78" fillId="4" borderId="33" xfId="0" applyFont="1" applyFill="1" applyBorder="1" applyAlignment="1">
      <alignment horizontal="centerContinuous"/>
    </xf>
    <xf numFmtId="0" fontId="58" fillId="2" borderId="14" xfId="0" applyFont="1" applyFill="1" applyBorder="1" applyAlignment="1">
      <alignment horizontal="centerContinuous"/>
    </xf>
    <xf numFmtId="0" fontId="73" fillId="0" borderId="0" xfId="0" applyFont="1" applyBorder="1" applyAlignment="1">
      <alignment horizontal="left" indent="1"/>
    </xf>
    <xf numFmtId="0" fontId="65" fillId="0" borderId="0" xfId="0" applyFont="1" applyAlignment="1">
      <alignment horizontal="left"/>
    </xf>
    <xf numFmtId="0" fontId="70" fillId="5" borderId="18" xfId="61742" applyFont="1" applyBorder="1" applyAlignment="1">
      <alignment horizontal="left" indent="1"/>
    </xf>
    <xf numFmtId="0" fontId="70" fillId="5" borderId="2" xfId="61742" applyFont="1" applyBorder="1" applyAlignment="1">
      <alignment horizontal="left" wrapText="1"/>
    </xf>
    <xf numFmtId="0" fontId="70" fillId="5" borderId="18" xfId="61757" applyFont="1" applyBorder="1" applyAlignment="1">
      <alignment horizontal="left" indent="1"/>
    </xf>
    <xf numFmtId="0" fontId="70" fillId="5" borderId="10" xfId="61757" applyFont="1" applyBorder="1" applyAlignment="1">
      <alignment horizontal="left" indent="1"/>
    </xf>
    <xf numFmtId="0" fontId="70" fillId="5" borderId="2" xfId="61757" applyFont="1" applyBorder="1" applyAlignment="1">
      <alignment horizontal="left" wrapText="1"/>
    </xf>
    <xf numFmtId="0" fontId="67" fillId="0" borderId="19" xfId="0" applyFont="1" applyBorder="1" applyAlignment="1">
      <alignment vertical="center" wrapText="1"/>
    </xf>
    <xf numFmtId="0" fontId="75" fillId="0" borderId="0" xfId="0" applyFont="1" applyAlignment="1">
      <alignment horizontal="left" indent="1"/>
    </xf>
    <xf numFmtId="0" fontId="70" fillId="5" borderId="28" xfId="61738" applyFont="1" applyBorder="1"/>
    <xf numFmtId="0" fontId="70" fillId="5" borderId="28" xfId="61738" applyFont="1" applyBorder="1" applyAlignment="1">
      <alignment wrapText="1"/>
    </xf>
    <xf numFmtId="0" fontId="67" fillId="2" borderId="24" xfId="0" applyFont="1" applyFill="1" applyBorder="1" applyAlignment="1">
      <alignment horizontal="center" wrapText="1"/>
    </xf>
    <xf numFmtId="0" fontId="67" fillId="2" borderId="37" xfId="0" applyFont="1" applyFill="1" applyBorder="1" applyAlignment="1">
      <alignment horizontal="center" wrapText="1"/>
    </xf>
    <xf numFmtId="0" fontId="65" fillId="2" borderId="25" xfId="0" applyFont="1" applyFill="1" applyBorder="1" applyAlignment="1">
      <alignment horizontal="center" wrapText="1"/>
    </xf>
    <xf numFmtId="0" fontId="77" fillId="2" borderId="23" xfId="0" applyFont="1" applyFill="1" applyBorder="1" applyAlignment="1">
      <alignment horizontal="left" wrapText="1"/>
    </xf>
    <xf numFmtId="0" fontId="65" fillId="0" borderId="0" xfId="0" applyFont="1" applyBorder="1"/>
    <xf numFmtId="0" fontId="65" fillId="0" borderId="0" xfId="0" applyFont="1" applyBorder="1" applyAlignment="1">
      <alignment wrapText="1"/>
    </xf>
    <xf numFmtId="0" fontId="65" fillId="4" borderId="7" xfId="0" applyFont="1" applyFill="1" applyBorder="1"/>
    <xf numFmtId="0" fontId="65" fillId="6" borderId="15" xfId="0" applyFont="1" applyFill="1" applyBorder="1" applyAlignment="1">
      <alignment horizontal="left" indent="1"/>
    </xf>
    <xf numFmtId="0" fontId="70" fillId="6" borderId="20" xfId="61738" applyFont="1" applyFill="1" applyBorder="1" applyAlignment="1">
      <alignment horizontal="left" wrapText="1"/>
    </xf>
    <xf numFmtId="0" fontId="70" fillId="6" borderId="16" xfId="61740" applyFont="1" applyFill="1" applyBorder="1" applyAlignment="1">
      <alignment horizontal="left" wrapText="1"/>
    </xf>
    <xf numFmtId="0" fontId="70" fillId="6" borderId="12" xfId="61740" applyFont="1" applyFill="1" applyBorder="1" applyAlignment="1">
      <alignment horizontal="left" wrapText="1"/>
    </xf>
    <xf numFmtId="0" fontId="70" fillId="6" borderId="18" xfId="61740" applyFont="1" applyFill="1" applyBorder="1" applyAlignment="1">
      <alignment horizontal="left" wrapText="1"/>
    </xf>
    <xf numFmtId="0" fontId="70" fillId="6" borderId="13" xfId="61738" applyFont="1" applyFill="1" applyBorder="1" applyAlignment="1">
      <alignment horizontal="left" wrapText="1"/>
    </xf>
    <xf numFmtId="0" fontId="70" fillId="6" borderId="15" xfId="61738" applyFont="1" applyFill="1" applyBorder="1" applyAlignment="1">
      <alignment horizontal="left" wrapText="1"/>
    </xf>
    <xf numFmtId="0" fontId="83" fillId="6" borderId="17" xfId="0" applyFont="1" applyFill="1" applyBorder="1" applyAlignment="1">
      <alignment wrapText="1"/>
    </xf>
    <xf numFmtId="0" fontId="83" fillId="6" borderId="26" xfId="0" applyFont="1" applyFill="1" applyBorder="1" applyAlignment="1">
      <alignment wrapText="1"/>
    </xf>
    <xf numFmtId="0" fontId="83" fillId="6" borderId="18" xfId="0" applyFont="1" applyFill="1" applyBorder="1" applyAlignment="1">
      <alignment wrapText="1"/>
    </xf>
    <xf numFmtId="0" fontId="83" fillId="6" borderId="19" xfId="0" applyFont="1" applyFill="1" applyBorder="1" applyAlignment="1">
      <alignment wrapText="1"/>
    </xf>
    <xf numFmtId="0" fontId="70" fillId="6" borderId="15" xfId="0" applyFont="1" applyFill="1" applyBorder="1" applyAlignment="1">
      <alignment horizontal="left" wrapText="1"/>
    </xf>
    <xf numFmtId="0" fontId="83" fillId="6" borderId="15" xfId="0" applyFont="1" applyFill="1" applyBorder="1" applyAlignment="1">
      <alignment wrapText="1"/>
    </xf>
    <xf numFmtId="0" fontId="70" fillId="6" borderId="15" xfId="0" applyFont="1" applyFill="1" applyBorder="1" applyAlignment="1">
      <alignment wrapText="1"/>
    </xf>
    <xf numFmtId="0" fontId="65" fillId="6" borderId="26" xfId="0" applyFont="1" applyFill="1" applyBorder="1" applyAlignment="1">
      <alignment horizontal="left" indent="1"/>
    </xf>
    <xf numFmtId="0" fontId="65" fillId="6" borderId="22" xfId="0" applyFont="1" applyFill="1" applyBorder="1" applyAlignment="1">
      <alignment horizontal="left" indent="1"/>
    </xf>
    <xf numFmtId="0" fontId="65" fillId="6" borderId="16" xfId="0" applyFont="1" applyFill="1" applyBorder="1" applyAlignment="1">
      <alignment horizontal="left" indent="1"/>
    </xf>
    <xf numFmtId="0" fontId="65" fillId="6" borderId="17" xfId="0" applyFont="1" applyFill="1" applyBorder="1" applyAlignment="1">
      <alignment horizontal="left" indent="1"/>
    </xf>
    <xf numFmtId="0" fontId="65" fillId="6" borderId="22" xfId="0" applyFont="1" applyFill="1" applyBorder="1"/>
    <xf numFmtId="0" fontId="65" fillId="6" borderId="1" xfId="0" applyFont="1" applyFill="1" applyBorder="1" applyAlignment="1">
      <alignment horizontal="left" wrapText="1"/>
    </xf>
    <xf numFmtId="0" fontId="65" fillId="6" borderId="20" xfId="0" applyFont="1" applyFill="1" applyBorder="1" applyAlignment="1">
      <alignment horizontal="left" indent="1"/>
    </xf>
    <xf numFmtId="0" fontId="65" fillId="6" borderId="11" xfId="0" applyFont="1" applyFill="1" applyBorder="1" applyAlignment="1">
      <alignment horizontal="left" indent="1"/>
    </xf>
    <xf numFmtId="0" fontId="65" fillId="6" borderId="13" xfId="0" applyFont="1" applyFill="1" applyBorder="1" applyAlignment="1">
      <alignment horizontal="left" indent="1"/>
    </xf>
    <xf numFmtId="0" fontId="65" fillId="6" borderId="13" xfId="0" applyFont="1" applyFill="1" applyBorder="1"/>
    <xf numFmtId="0" fontId="65" fillId="6" borderId="4" xfId="0" applyFont="1" applyFill="1" applyBorder="1" applyAlignment="1">
      <alignment horizontal="left" wrapText="1"/>
    </xf>
    <xf numFmtId="0" fontId="3" fillId="9" borderId="38" xfId="61881" applyFont="1" applyFill="1" applyBorder="1" applyAlignment="1">
      <alignment horizontal="left" indent="1"/>
    </xf>
    <xf numFmtId="0" fontId="3" fillId="9" borderId="18" xfId="0" applyFont="1" applyFill="1" applyBorder="1"/>
    <xf numFmtId="0" fontId="3" fillId="6" borderId="10" xfId="0" applyFont="1" applyFill="1" applyBorder="1"/>
    <xf numFmtId="0" fontId="3" fillId="6" borderId="18" xfId="0" applyFont="1" applyFill="1" applyBorder="1"/>
    <xf numFmtId="0" fontId="3" fillId="6" borderId="2" xfId="0" applyFont="1" applyFill="1" applyBorder="1"/>
    <xf numFmtId="0" fontId="3" fillId="6" borderId="24" xfId="61881" applyFont="1" applyFill="1" applyBorder="1" applyAlignment="1">
      <alignment horizontal="center" wrapText="1"/>
    </xf>
    <xf numFmtId="0" fontId="3" fillId="6" borderId="38" xfId="61881" applyFont="1" applyFill="1" applyBorder="1" applyAlignment="1">
      <alignment horizontal="left" indent="1"/>
    </xf>
    <xf numFmtId="0" fontId="3" fillId="10" borderId="18" xfId="0" applyFont="1" applyFill="1" applyBorder="1"/>
    <xf numFmtId="0" fontId="3" fillId="10" borderId="10" xfId="0" applyFont="1" applyFill="1" applyBorder="1"/>
    <xf numFmtId="0" fontId="3" fillId="10" borderId="2" xfId="0" applyFont="1" applyFill="1" applyBorder="1"/>
    <xf numFmtId="0" fontId="3" fillId="10" borderId="24" xfId="61881" applyFont="1" applyFill="1" applyBorder="1" applyAlignment="1">
      <alignment horizontal="center" wrapText="1"/>
    </xf>
    <xf numFmtId="0" fontId="3" fillId="10" borderId="38" xfId="61881" applyFont="1" applyFill="1" applyBorder="1" applyAlignment="1">
      <alignment horizontal="left" indent="1"/>
    </xf>
    <xf numFmtId="0" fontId="71" fillId="10" borderId="38" xfId="61881" applyFont="1" applyFill="1" applyBorder="1" applyAlignment="1">
      <alignment horizontal="left" indent="1"/>
    </xf>
    <xf numFmtId="0" fontId="71" fillId="10" borderId="18" xfId="0" applyFont="1" applyFill="1" applyBorder="1"/>
    <xf numFmtId="0" fontId="71" fillId="10" borderId="10" xfId="0" applyFont="1" applyFill="1" applyBorder="1"/>
    <xf numFmtId="0" fontId="70" fillId="10" borderId="18" xfId="0" applyFont="1" applyFill="1" applyBorder="1"/>
    <xf numFmtId="0" fontId="70" fillId="10" borderId="10" xfId="0" applyFont="1" applyFill="1" applyBorder="1"/>
    <xf numFmtId="0" fontId="70" fillId="10" borderId="2" xfId="0" applyFont="1" applyFill="1" applyBorder="1"/>
    <xf numFmtId="0" fontId="70" fillId="10" borderId="24" xfId="61881" applyFont="1" applyFill="1" applyBorder="1" applyAlignment="1">
      <alignment horizontal="center" wrapText="1"/>
    </xf>
    <xf numFmtId="0" fontId="87" fillId="9" borderId="38" xfId="61881" applyFont="1" applyFill="1" applyBorder="1" applyAlignment="1">
      <alignment horizontal="left" indent="1"/>
    </xf>
    <xf numFmtId="0" fontId="87" fillId="10" borderId="18" xfId="0" applyFont="1" applyFill="1" applyBorder="1"/>
    <xf numFmtId="0" fontId="87" fillId="10" borderId="10" xfId="0" applyFont="1" applyFill="1" applyBorder="1"/>
    <xf numFmtId="0" fontId="87" fillId="10" borderId="2" xfId="0" applyFont="1" applyFill="1" applyBorder="1"/>
    <xf numFmtId="0" fontId="87" fillId="10" borderId="24" xfId="61881" applyFont="1" applyFill="1" applyBorder="1" applyAlignment="1">
      <alignment horizontal="center" wrapText="1"/>
    </xf>
    <xf numFmtId="0" fontId="87" fillId="10" borderId="38" xfId="61881" applyFont="1" applyFill="1" applyBorder="1" applyAlignment="1">
      <alignment horizontal="left" indent="1"/>
    </xf>
    <xf numFmtId="0" fontId="87" fillId="10" borderId="0" xfId="0" applyFont="1" applyFill="1" applyBorder="1"/>
    <xf numFmtId="0" fontId="71" fillId="10" borderId="2" xfId="0" applyFont="1" applyFill="1" applyBorder="1"/>
    <xf numFmtId="0" fontId="71" fillId="10" borderId="24" xfId="61881" applyFont="1" applyFill="1" applyBorder="1" applyAlignment="1">
      <alignment horizontal="center" wrapText="1"/>
    </xf>
    <xf numFmtId="0" fontId="3" fillId="10" borderId="24" xfId="61870" applyFont="1" applyFill="1" applyBorder="1" applyAlignment="1">
      <alignment horizontal="left" indent="1"/>
    </xf>
    <xf numFmtId="0" fontId="69" fillId="10" borderId="0" xfId="0" applyFont="1" applyFill="1" applyBorder="1"/>
    <xf numFmtId="0" fontId="69" fillId="10" borderId="18" xfId="0" applyFont="1" applyFill="1" applyBorder="1"/>
    <xf numFmtId="0" fontId="69" fillId="10" borderId="2" xfId="0" applyFont="1" applyFill="1" applyBorder="1"/>
    <xf numFmtId="0" fontId="3" fillId="10" borderId="24" xfId="61870" applyFont="1" applyFill="1" applyBorder="1" applyAlignment="1">
      <alignment horizontal="center" wrapText="1"/>
    </xf>
    <xf numFmtId="0" fontId="88" fillId="9" borderId="24" xfId="61882" applyFont="1" applyFill="1" applyBorder="1" applyAlignment="1">
      <alignment horizontal="left" indent="1"/>
    </xf>
    <xf numFmtId="0" fontId="89" fillId="10" borderId="0" xfId="0" applyFont="1" applyFill="1" applyBorder="1"/>
    <xf numFmtId="0" fontId="89" fillId="10" borderId="18" xfId="0" applyFont="1" applyFill="1" applyBorder="1"/>
    <xf numFmtId="0" fontId="89" fillId="10" borderId="2" xfId="0" applyFont="1" applyFill="1" applyBorder="1"/>
    <xf numFmtId="0" fontId="90" fillId="10" borderId="24" xfId="61882" applyFont="1" applyFill="1" applyBorder="1" applyAlignment="1">
      <alignment horizontal="center" wrapText="1"/>
    </xf>
    <xf numFmtId="0" fontId="90" fillId="10" borderId="24" xfId="61882" applyFont="1" applyFill="1" applyBorder="1" applyAlignment="1">
      <alignment horizontal="left" indent="1"/>
    </xf>
    <xf numFmtId="0" fontId="3" fillId="10" borderId="38" xfId="61883" applyFont="1" applyFill="1" applyBorder="1" applyAlignment="1">
      <alignment horizontal="left" indent="1"/>
    </xf>
    <xf numFmtId="0" fontId="3" fillId="10" borderId="0" xfId="0" applyFont="1" applyFill="1" applyBorder="1"/>
    <xf numFmtId="0" fontId="3" fillId="10" borderId="24" xfId="61883" applyFont="1" applyFill="1" applyBorder="1" applyAlignment="1">
      <alignment horizontal="center" wrapText="1"/>
    </xf>
    <xf numFmtId="0" fontId="84" fillId="9" borderId="24" xfId="0" applyFont="1" applyFill="1" applyBorder="1" applyAlignment="1">
      <alignment horizontal="left" indent="1"/>
    </xf>
    <xf numFmtId="0" fontId="0" fillId="11" borderId="0" xfId="0" applyFont="1" applyFill="1"/>
    <xf numFmtId="0" fontId="0" fillId="11" borderId="18" xfId="0" applyFont="1" applyFill="1" applyBorder="1"/>
    <xf numFmtId="0" fontId="69" fillId="11" borderId="39" xfId="0" applyFont="1" applyFill="1" applyBorder="1"/>
    <xf numFmtId="0" fontId="69" fillId="11" borderId="18" xfId="0" applyFont="1" applyFill="1" applyBorder="1"/>
    <xf numFmtId="0" fontId="69" fillId="11" borderId="10" xfId="0" applyFont="1" applyFill="1" applyBorder="1"/>
    <xf numFmtId="0" fontId="67" fillId="11" borderId="2" xfId="0" applyFont="1" applyFill="1" applyBorder="1"/>
    <xf numFmtId="0" fontId="0" fillId="11" borderId="0" xfId="0" applyFill="1" applyAlignment="1">
      <alignment horizontal="center"/>
    </xf>
    <xf numFmtId="0" fontId="3" fillId="11" borderId="24" xfId="0" applyFont="1" applyFill="1" applyBorder="1" applyAlignment="1">
      <alignment horizontal="left" indent="1"/>
    </xf>
    <xf numFmtId="0" fontId="69" fillId="11" borderId="0" xfId="0" applyFont="1" applyFill="1"/>
    <xf numFmtId="0" fontId="0" fillId="11" borderId="39" xfId="0" applyFont="1" applyFill="1" applyBorder="1"/>
    <xf numFmtId="0" fontId="86" fillId="11" borderId="40" xfId="0" applyFont="1" applyFill="1" applyBorder="1" applyAlignment="1">
      <alignment horizontal="right" vertical="center"/>
    </xf>
    <xf numFmtId="0" fontId="86" fillId="11" borderId="41" xfId="0" applyFont="1" applyFill="1" applyBorder="1" applyAlignment="1">
      <alignment horizontal="right" vertical="center"/>
    </xf>
    <xf numFmtId="0" fontId="69" fillId="11" borderId="2" xfId="0" applyFont="1" applyFill="1" applyBorder="1"/>
    <xf numFmtId="0" fontId="91" fillId="11" borderId="42" xfId="0" applyFont="1" applyFill="1" applyBorder="1" applyAlignment="1">
      <alignment horizontal="center" vertical="center" wrapText="1"/>
    </xf>
    <xf numFmtId="0" fontId="86" fillId="11" borderId="43" xfId="0" applyFont="1" applyFill="1" applyBorder="1" applyAlignment="1">
      <alignment horizontal="right" vertical="center"/>
    </xf>
    <xf numFmtId="0" fontId="86" fillId="11" borderId="44" xfId="0" applyFont="1" applyFill="1" applyBorder="1" applyAlignment="1">
      <alignment horizontal="right" vertical="center"/>
    </xf>
    <xf numFmtId="0" fontId="91" fillId="11" borderId="45" xfId="0" applyFont="1" applyFill="1" applyBorder="1" applyAlignment="1">
      <alignment horizontal="center" vertical="center" wrapText="1"/>
    </xf>
    <xf numFmtId="0" fontId="85" fillId="11" borderId="44" xfId="61880" applyFill="1" applyBorder="1" applyAlignment="1">
      <alignment horizontal="center" vertical="center" wrapText="1"/>
    </xf>
    <xf numFmtId="0" fontId="86" fillId="11" borderId="44" xfId="0" applyFont="1" applyFill="1" applyBorder="1" applyAlignment="1">
      <alignment vertical="center"/>
    </xf>
    <xf numFmtId="49" fontId="92" fillId="11" borderId="46" xfId="61826" applyNumberFormat="1" applyFont="1" applyFill="1" applyBorder="1" applyAlignment="1" applyProtection="1">
      <alignment horizontal="center" vertical="center" wrapText="1"/>
      <protection locked="0"/>
    </xf>
    <xf numFmtId="0" fontId="3" fillId="12" borderId="18" xfId="0" applyFont="1" applyFill="1" applyBorder="1"/>
    <xf numFmtId="0" fontId="3" fillId="12" borderId="10" xfId="0" applyFont="1" applyFill="1" applyBorder="1"/>
    <xf numFmtId="0" fontId="3" fillId="12" borderId="2" xfId="0" applyFont="1" applyFill="1" applyBorder="1"/>
    <xf numFmtId="0" fontId="3" fillId="12" borderId="24" xfId="61881" applyFont="1" applyFill="1" applyBorder="1" applyAlignment="1">
      <alignment horizontal="center" wrapText="1"/>
    </xf>
    <xf numFmtId="0" fontId="3" fillId="12" borderId="38" xfId="61881" applyFont="1" applyFill="1" applyBorder="1" applyAlignment="1">
      <alignment horizontal="left" indent="1"/>
    </xf>
    <xf numFmtId="0" fontId="3" fillId="9" borderId="38" xfId="61883" applyFont="1" applyFill="1" applyBorder="1" applyAlignment="1">
      <alignment horizontal="left" indent="1"/>
    </xf>
    <xf numFmtId="0" fontId="3" fillId="12" borderId="0" xfId="0" applyFont="1" applyFill="1" applyBorder="1"/>
    <xf numFmtId="0" fontId="3" fillId="12" borderId="24" xfId="61883" applyFont="1" applyFill="1" applyBorder="1" applyAlignment="1">
      <alignment horizontal="center" wrapText="1"/>
    </xf>
    <xf numFmtId="0" fontId="3" fillId="12" borderId="38" xfId="61883" applyFont="1" applyFill="1" applyBorder="1" applyAlignment="1">
      <alignment horizontal="left" indent="1"/>
    </xf>
    <xf numFmtId="0" fontId="93" fillId="9" borderId="24" xfId="61878" applyFont="1" applyFill="1" applyBorder="1" applyAlignment="1">
      <alignment horizontal="left" indent="1"/>
    </xf>
    <xf numFmtId="0" fontId="67" fillId="10" borderId="0" xfId="0" applyFont="1" applyFill="1" applyBorder="1"/>
    <xf numFmtId="0" fontId="67" fillId="10" borderId="18" xfId="0" applyFont="1" applyFill="1" applyBorder="1"/>
    <xf numFmtId="0" fontId="67" fillId="10" borderId="2" xfId="0" applyFont="1" applyFill="1" applyBorder="1"/>
    <xf numFmtId="0" fontId="70" fillId="10" borderId="24" xfId="61878" applyFont="1" applyFill="1" applyBorder="1" applyAlignment="1">
      <alignment horizontal="center" wrapText="1"/>
    </xf>
    <xf numFmtId="0" fontId="94" fillId="10" borderId="24" xfId="61870" applyFont="1" applyFill="1" applyBorder="1" applyAlignment="1">
      <alignment horizontal="left" indent="1"/>
    </xf>
    <xf numFmtId="0" fontId="95" fillId="10" borderId="0" xfId="0" applyFont="1" applyFill="1" applyBorder="1"/>
    <xf numFmtId="0" fontId="95" fillId="10" borderId="18" xfId="0" applyFont="1" applyFill="1" applyBorder="1"/>
    <xf numFmtId="0" fontId="95" fillId="10" borderId="2" xfId="0" applyFont="1" applyFill="1" applyBorder="1"/>
    <xf numFmtId="0" fontId="94" fillId="10" borderId="24" xfId="61870" applyFont="1" applyFill="1" applyBorder="1" applyAlignment="1">
      <alignment horizontal="center" wrapText="1"/>
    </xf>
    <xf numFmtId="0" fontId="3" fillId="9" borderId="38" xfId="61881" applyFont="1" applyFill="1" applyBorder="1" applyAlignment="1">
      <alignment horizontal="left"/>
    </xf>
    <xf numFmtId="0" fontId="70" fillId="6" borderId="24" xfId="61740" applyFont="1" applyFill="1" applyBorder="1" applyAlignment="1">
      <alignment horizontal="left" indent="1"/>
    </xf>
    <xf numFmtId="0" fontId="67" fillId="6" borderId="18" xfId="0" applyFont="1" applyFill="1" applyBorder="1"/>
    <xf numFmtId="0" fontId="67" fillId="6" borderId="0" xfId="0" applyFont="1" applyFill="1" applyBorder="1"/>
    <xf numFmtId="0" fontId="67" fillId="6" borderId="24" xfId="0" applyFont="1" applyFill="1" applyBorder="1" applyAlignment="1">
      <alignment horizontal="center"/>
    </xf>
    <xf numFmtId="0" fontId="67" fillId="0" borderId="28" xfId="61886" applyNumberFormat="1" applyFont="1" applyBorder="1" applyAlignment="1">
      <alignment horizontal="left" wrapText="1" indent="1"/>
    </xf>
    <xf numFmtId="0" fontId="67" fillId="0" borderId="19" xfId="0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96" fillId="10" borderId="18" xfId="61880" applyFont="1" applyFill="1" applyBorder="1"/>
    <xf numFmtId="0" fontId="70" fillId="5" borderId="28" xfId="61738" applyFont="1" applyBorder="1" applyAlignment="1">
      <alignment horizontal="left" wrapText="1" indent="1"/>
    </xf>
    <xf numFmtId="0" fontId="71" fillId="5" borderId="28" xfId="61738" applyFont="1" applyBorder="1" applyAlignment="1">
      <alignment horizontal="left" wrapText="1" indent="1"/>
    </xf>
    <xf numFmtId="0" fontId="67" fillId="0" borderId="28" xfId="61884" applyFont="1" applyBorder="1" applyAlignment="1">
      <alignment horizontal="left" wrapText="1" indent="1"/>
    </xf>
    <xf numFmtId="0" fontId="70" fillId="5" borderId="28" xfId="61885" applyFont="1" applyBorder="1" applyAlignment="1">
      <alignment horizontal="left" wrapText="1" indent="1"/>
    </xf>
    <xf numFmtId="0" fontId="67" fillId="0" borderId="28" xfId="0" applyFont="1" applyBorder="1" applyAlignment="1">
      <alignment horizontal="left" wrapText="1" indent="1"/>
    </xf>
    <xf numFmtId="0" fontId="72" fillId="0" borderId="28" xfId="0" applyFont="1" applyBorder="1" applyAlignment="1">
      <alignment horizontal="left" wrapText="1" indent="1"/>
    </xf>
    <xf numFmtId="0" fontId="70" fillId="5" borderId="28" xfId="61849" applyFont="1" applyBorder="1" applyAlignment="1">
      <alignment horizontal="left" wrapText="1" indent="1"/>
    </xf>
    <xf numFmtId="1" fontId="67" fillId="0" borderId="28" xfId="0" applyNumberFormat="1" applyFont="1" applyBorder="1" applyAlignment="1">
      <alignment horizontal="left" wrapText="1" indent="1"/>
    </xf>
    <xf numFmtId="0" fontId="67" fillId="0" borderId="28" xfId="61886" applyFont="1" applyBorder="1" applyAlignment="1">
      <alignment horizontal="left" wrapText="1" indent="1"/>
    </xf>
    <xf numFmtId="0" fontId="1" fillId="6" borderId="10" xfId="0" applyFont="1" applyFill="1" applyBorder="1"/>
    <xf numFmtId="0" fontId="63" fillId="3" borderId="0" xfId="0" applyFont="1" applyFill="1" applyAlignment="1">
      <alignment horizontal="center" vertical="center"/>
    </xf>
    <xf numFmtId="0" fontId="79" fillId="3" borderId="0" xfId="0" applyFont="1" applyFill="1" applyAlignment="1">
      <alignment horizontal="center" vertical="center" wrapText="1"/>
    </xf>
    <xf numFmtId="0" fontId="78" fillId="4" borderId="29" xfId="0" applyFont="1" applyFill="1" applyBorder="1" applyAlignment="1">
      <alignment horizontal="center"/>
    </xf>
    <xf numFmtId="0" fontId="78" fillId="4" borderId="21" xfId="0" applyFont="1" applyFill="1" applyBorder="1" applyAlignment="1">
      <alignment horizontal="center"/>
    </xf>
    <xf numFmtId="0" fontId="78" fillId="4" borderId="1" xfId="0" applyFont="1" applyFill="1" applyBorder="1" applyAlignment="1">
      <alignment horizontal="center"/>
    </xf>
  </cellXfs>
  <cellStyles count="61887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85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1" xfId="61882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8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3 5" xfId="61883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80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2" xfId="61884"/>
    <cellStyle name="Normal 13" xfId="6188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19050</xdr:rowOff>
        </xdr:from>
        <xdr:to>
          <xdr:col>1</xdr:col>
          <xdr:colOff>180975</xdr:colOff>
          <xdr:row>20</xdr:row>
          <xdr:rowOff>28575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37" name="Commercial" hidden="1">
              <a:extLst>
                <a:ext uri="{63B3BB69-23CF-44E3-9099-C40C66FF867C}">
                  <a14:compatExt spid="_x0000_s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conf@vowifi2.ims.spcsdns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Normal="100" workbookViewId="0">
      <selection activeCell="B13" sqref="B13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50" customWidth="1"/>
    <col min="5" max="5" width="12.85546875" bestFit="1" customWidth="1"/>
    <col min="6" max="7" width="12.7109375" bestFit="1" customWidth="1"/>
    <col min="8" max="8" width="12.7109375" style="50" customWidth="1"/>
    <col min="9" max="9" width="12.7109375" bestFit="1" customWidth="1"/>
  </cols>
  <sheetData>
    <row r="1" spans="1:18" s="1" customFormat="1" ht="12.75" customHeight="1" x14ac:dyDescent="0.3">
      <c r="C1" s="30"/>
      <c r="D1" s="30"/>
      <c r="H1" s="30"/>
    </row>
    <row r="2" spans="1:18" s="7" customFormat="1" ht="45" customHeight="1" x14ac:dyDescent="0.2">
      <c r="A2" s="230" t="s">
        <v>394</v>
      </c>
      <c r="B2" s="230"/>
      <c r="C2" s="230"/>
      <c r="D2" s="230"/>
      <c r="E2" s="230"/>
      <c r="F2" s="230"/>
      <c r="G2" s="230"/>
      <c r="H2" s="72"/>
    </row>
    <row r="3" spans="1:18" s="1" customFormat="1" ht="15" x14ac:dyDescent="0.3">
      <c r="C3" s="30"/>
      <c r="D3" s="30"/>
      <c r="H3" s="30"/>
    </row>
    <row r="4" spans="1:18" s="1" customFormat="1" ht="15" x14ac:dyDescent="0.3">
      <c r="A4" s="3" t="s">
        <v>0</v>
      </c>
      <c r="B4" s="19">
        <f>MAX('Revision History'!C:C)</f>
        <v>42691</v>
      </c>
      <c r="C4" s="19"/>
      <c r="D4" s="19"/>
      <c r="H4" s="30"/>
    </row>
    <row r="5" spans="1:18" s="1" customFormat="1" ht="15" x14ac:dyDescent="0.3">
      <c r="A5" s="3" t="s">
        <v>1</v>
      </c>
      <c r="B5" s="20">
        <f>LOOKUP(2,1/('Revision History'!B:B&lt;&gt;""),'Revision History'!B:B)</f>
        <v>70</v>
      </c>
      <c r="C5" s="20"/>
      <c r="D5" s="20"/>
      <c r="H5" s="30"/>
    </row>
    <row r="6" spans="1:18" s="1" customFormat="1" ht="15" x14ac:dyDescent="0.3">
      <c r="A6" s="12" t="s">
        <v>393</v>
      </c>
      <c r="B6" s="94" t="s">
        <v>762</v>
      </c>
      <c r="C6" s="16"/>
      <c r="D6" s="16"/>
      <c r="H6" s="30"/>
    </row>
    <row r="7" spans="1:18" s="1" customFormat="1" ht="15" x14ac:dyDescent="0.3">
      <c r="A7" s="12" t="s">
        <v>391</v>
      </c>
      <c r="B7" s="16" t="s">
        <v>751</v>
      </c>
      <c r="C7" s="16"/>
      <c r="D7" s="16"/>
      <c r="H7" s="30"/>
    </row>
    <row r="8" spans="1:18" s="1" customFormat="1" ht="15" x14ac:dyDescent="0.3">
      <c r="A8" s="12" t="s">
        <v>392</v>
      </c>
      <c r="B8" s="16" t="s">
        <v>754</v>
      </c>
      <c r="C8" s="16"/>
      <c r="D8" s="16"/>
      <c r="H8" s="30"/>
    </row>
    <row r="9" spans="1:18" s="6" customFormat="1" ht="19.5" x14ac:dyDescent="0.4">
      <c r="A9" s="12" t="s">
        <v>752</v>
      </c>
      <c r="B9" s="16" t="s">
        <v>270</v>
      </c>
    </row>
    <row r="10" spans="1:18" s="1" customFormat="1" ht="20.25" thickBot="1" x14ac:dyDescent="0.45">
      <c r="A10" s="18" t="s">
        <v>314</v>
      </c>
      <c r="B10" s="39"/>
    </row>
    <row r="11" spans="1:18" s="1" customFormat="1" ht="15.75" thickBot="1" x14ac:dyDescent="0.35">
      <c r="A11" s="5"/>
      <c r="B11" s="5" t="s">
        <v>753</v>
      </c>
      <c r="J11" s="30"/>
      <c r="K11" s="30"/>
      <c r="L11" s="30"/>
    </row>
    <row r="12" spans="1:18" s="2" customFormat="1" ht="15" x14ac:dyDescent="0.3">
      <c r="A12" s="4" t="s">
        <v>2</v>
      </c>
      <c r="B12" s="31">
        <v>2</v>
      </c>
      <c r="J12" s="30"/>
      <c r="K12" s="30"/>
      <c r="L12" s="30"/>
    </row>
    <row r="13" spans="1:18" s="21" customFormat="1" ht="15" x14ac:dyDescent="0.3">
      <c r="A13" s="11" t="s">
        <v>264</v>
      </c>
      <c r="B13" s="11" t="str">
        <f>Commercial!$F$770</f>
        <v>0x05010203</v>
      </c>
      <c r="J13" s="60"/>
      <c r="K13" s="60"/>
      <c r="L13" s="60"/>
    </row>
    <row r="14" spans="1:18" s="51" customFormat="1" ht="15" x14ac:dyDescent="0.3">
      <c r="A14" s="31" t="s">
        <v>277</v>
      </c>
      <c r="B14" s="31">
        <v>1</v>
      </c>
      <c r="E14" s="30"/>
      <c r="F14" s="30"/>
      <c r="G14" s="30"/>
      <c r="H14" s="30"/>
      <c r="I14" s="30"/>
      <c r="J14" s="30"/>
      <c r="K14" s="30"/>
      <c r="L14" s="30"/>
    </row>
    <row r="15" spans="1:18" s="21" customFormat="1" ht="20.25" thickBot="1" x14ac:dyDescent="0.45">
      <c r="A15" s="73" t="s">
        <v>576</v>
      </c>
      <c r="B15" s="73"/>
      <c r="E15" s="30"/>
      <c r="F15" s="30"/>
      <c r="G15" s="30"/>
      <c r="H15" s="30"/>
      <c r="I15" s="30"/>
      <c r="J15" s="30"/>
      <c r="K15" s="30"/>
      <c r="L15" s="6"/>
    </row>
    <row r="16" spans="1:18" s="48" customFormat="1" ht="15" x14ac:dyDescent="0.3">
      <c r="A16" s="86"/>
      <c r="B16" s="86"/>
      <c r="C16" s="86"/>
      <c r="D16" s="86"/>
      <c r="E16" s="86"/>
      <c r="F16" s="86"/>
      <c r="G16" s="86"/>
      <c r="H16" s="86"/>
      <c r="I16" s="86"/>
      <c r="K16" s="30"/>
      <c r="L16" s="30"/>
      <c r="M16" s="30"/>
      <c r="N16" s="30"/>
      <c r="O16" s="30"/>
      <c r="P16" s="30"/>
      <c r="Q16" s="30"/>
      <c r="R16" s="30"/>
    </row>
    <row r="17" spans="1:19" s="48" customFormat="1" ht="16.5" customHeight="1" x14ac:dyDescent="0.3">
      <c r="A17" s="86"/>
      <c r="F17" s="86"/>
      <c r="G17" s="86"/>
      <c r="H17" s="86"/>
      <c r="I17" s="86"/>
      <c r="K17" s="30"/>
      <c r="L17" s="30"/>
      <c r="M17" s="30"/>
      <c r="N17" s="30"/>
      <c r="O17" s="30"/>
      <c r="P17" s="30"/>
      <c r="Q17" s="30"/>
      <c r="R17" s="30"/>
    </row>
    <row r="18" spans="1:19" s="48" customFormat="1" ht="16.5" customHeight="1" x14ac:dyDescent="0.3">
      <c r="A18" s="86"/>
      <c r="B18" s="86"/>
      <c r="C18" s="86"/>
      <c r="D18" s="86"/>
      <c r="E18" s="86"/>
      <c r="F18" s="86"/>
      <c r="G18" s="86"/>
      <c r="H18" s="86"/>
      <c r="I18" s="86"/>
      <c r="J18" s="30"/>
      <c r="K18" s="30"/>
      <c r="L18" s="30"/>
      <c r="M18" s="51"/>
      <c r="N18" s="51"/>
      <c r="O18" s="30"/>
      <c r="P18" s="30"/>
      <c r="Q18" s="30"/>
      <c r="R18" s="51"/>
    </row>
    <row r="19" spans="1:19" s="2" customFormat="1" ht="19.5" x14ac:dyDescent="0.4">
      <c r="A19"/>
      <c r="B19" s="10"/>
      <c r="C19" s="50"/>
      <c r="D19" s="50"/>
      <c r="E19"/>
      <c r="F19"/>
      <c r="H19" s="51"/>
      <c r="J19" s="30"/>
      <c r="K19" s="30"/>
      <c r="L19" s="6"/>
      <c r="M19" s="21"/>
      <c r="N19" s="21"/>
      <c r="O19" s="6"/>
      <c r="P19" s="6"/>
      <c r="Q19" s="6"/>
      <c r="R19" s="51"/>
      <c r="S19" s="51"/>
    </row>
    <row r="20" spans="1:19" s="2" customFormat="1" ht="15" x14ac:dyDescent="0.3">
      <c r="A20" s="9" t="s">
        <v>340</v>
      </c>
      <c r="B20" s="9"/>
      <c r="C20" s="9"/>
      <c r="D20" s="9"/>
      <c r="H20" s="51"/>
      <c r="J20" s="51"/>
      <c r="K20" s="51"/>
      <c r="L20" s="30"/>
      <c r="M20" s="51"/>
      <c r="N20" s="51"/>
      <c r="O20" s="48"/>
      <c r="P20" s="30"/>
      <c r="Q20" s="30"/>
      <c r="R20" s="30"/>
      <c r="S20" s="48"/>
    </row>
    <row r="21" spans="1:19" s="2" customFormat="1" ht="15" x14ac:dyDescent="0.3">
      <c r="A21" s="8"/>
      <c r="B21" s="8"/>
      <c r="C21" s="38"/>
      <c r="D21" s="38"/>
      <c r="H21" s="51"/>
      <c r="J21" s="51"/>
      <c r="K21" s="51"/>
      <c r="L21" s="51"/>
      <c r="M21" s="51"/>
      <c r="N21" s="51"/>
      <c r="O21" s="51"/>
      <c r="P21" s="51"/>
      <c r="Q21" s="51"/>
      <c r="R21" s="51"/>
    </row>
    <row r="22" spans="1:19" s="2" customFormat="1" ht="15" x14ac:dyDescent="0.3">
      <c r="A22"/>
      <c r="B22" s="10"/>
      <c r="C22" s="50"/>
      <c r="D22" s="50"/>
      <c r="E22"/>
      <c r="F22"/>
      <c r="G22"/>
      <c r="H22" s="50"/>
      <c r="I22"/>
      <c r="J22" s="51"/>
      <c r="K22" s="51"/>
      <c r="L22" s="51"/>
      <c r="M22" s="21"/>
      <c r="N22" s="51"/>
      <c r="O22" s="51"/>
      <c r="P22" s="51"/>
      <c r="Q22" s="51"/>
      <c r="R22" s="51"/>
    </row>
    <row r="23" spans="1:19" s="2" customFormat="1" ht="19.5" x14ac:dyDescent="0.4">
      <c r="A23"/>
      <c r="B23" s="10"/>
      <c r="C23" s="50"/>
      <c r="D23" s="50"/>
      <c r="E23"/>
      <c r="F23"/>
      <c r="G23"/>
      <c r="H23" s="50"/>
      <c r="I23"/>
      <c r="J23" s="21"/>
      <c r="K23" s="21"/>
      <c r="L23" s="30"/>
      <c r="M23" s="48"/>
      <c r="N23" s="51"/>
      <c r="P23" s="6"/>
      <c r="Q23" s="6"/>
      <c r="R23" s="51"/>
    </row>
    <row r="24" spans="1:19" s="2" customFormat="1" ht="15" x14ac:dyDescent="0.3">
      <c r="A24"/>
      <c r="B24" s="10"/>
      <c r="C24" s="50"/>
      <c r="D24" s="50"/>
      <c r="E24"/>
      <c r="F24"/>
      <c r="G24"/>
      <c r="H24" s="50"/>
      <c r="I24"/>
      <c r="J24" s="30"/>
      <c r="K24" s="30"/>
      <c r="L24" s="30"/>
      <c r="M24" s="48"/>
      <c r="N24" s="51"/>
      <c r="P24" s="30"/>
      <c r="Q24" s="30"/>
      <c r="R24" s="21"/>
    </row>
    <row r="25" spans="1:19" ht="15" x14ac:dyDescent="0.3">
      <c r="J25" s="51"/>
      <c r="K25" s="51"/>
      <c r="L25" s="51"/>
      <c r="M25" s="51"/>
      <c r="N25" s="51"/>
      <c r="P25" s="30"/>
      <c r="Q25" s="30"/>
      <c r="R25" s="48"/>
    </row>
    <row r="26" spans="1:19" ht="15" x14ac:dyDescent="0.3">
      <c r="J26" s="51"/>
      <c r="K26" s="51"/>
      <c r="L26" s="51"/>
      <c r="M26" s="51"/>
      <c r="N26" s="51"/>
    </row>
    <row r="27" spans="1:19" ht="19.5" x14ac:dyDescent="0.4">
      <c r="J27" s="6"/>
      <c r="K27" s="6"/>
      <c r="L27" s="51"/>
      <c r="M27" s="51"/>
      <c r="N27" s="51"/>
    </row>
    <row r="28" spans="1:19" ht="15" x14ac:dyDescent="0.3">
      <c r="J28" s="30"/>
      <c r="K28" s="30"/>
      <c r="L28" s="21"/>
      <c r="M28" s="51"/>
      <c r="N28" s="51"/>
    </row>
    <row r="29" spans="1:19" ht="15" x14ac:dyDescent="0.3">
      <c r="J29" s="30"/>
      <c r="K29" s="30"/>
      <c r="L29" s="48"/>
      <c r="M29" s="50"/>
      <c r="N29" s="50"/>
    </row>
    <row r="30" spans="1:19" x14ac:dyDescent="0.2">
      <c r="J30" s="50"/>
      <c r="K30" s="50"/>
      <c r="L30" s="50"/>
      <c r="M30" s="50"/>
      <c r="N30" s="50"/>
    </row>
    <row r="44" spans="5:6" x14ac:dyDescent="0.2">
      <c r="E44" s="50"/>
      <c r="F44" s="50"/>
    </row>
    <row r="45" spans="5:6" x14ac:dyDescent="0.2">
      <c r="E45" s="50"/>
      <c r="F45" s="50"/>
    </row>
    <row r="46" spans="5:6" x14ac:dyDescent="0.2">
      <c r="E46" s="50"/>
      <c r="F46" s="50"/>
    </row>
  </sheetData>
  <dataConsolidate/>
  <mergeCells count="1">
    <mergeCell ref="A2:G2"/>
  </mergeCells>
  <hyperlinks>
    <hyperlink ref="B11" location="'Commercial'!A5" tooltip="Jump to worksheet" display="'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0</xdr:colOff>
                    <xdr:row>19</xdr:row>
                    <xdr:rowOff>19050</xdr:rowOff>
                  </from>
                  <to>
                    <xdr:col>1</xdr:col>
                    <xdr:colOff>180975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9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0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:K789"/>
  <sheetViews>
    <sheetView topLeftCell="A178" zoomScale="70" zoomScaleNormal="70" workbookViewId="0">
      <selection activeCell="F771" sqref="F771"/>
    </sheetView>
  </sheetViews>
  <sheetFormatPr defaultColWidth="9.140625" defaultRowHeight="12.75" x14ac:dyDescent="0.2"/>
  <cols>
    <col min="1" max="1" width="41.85546875" style="50" bestFit="1" customWidth="1"/>
    <col min="2" max="2" width="49.85546875" style="50" customWidth="1"/>
    <col min="3" max="3" width="17.140625" style="50" customWidth="1"/>
    <col min="4" max="4" width="15.28515625" style="50" customWidth="1"/>
    <col min="5" max="5" width="57.85546875" style="50" bestFit="1" customWidth="1"/>
    <col min="6" max="6" width="21.140625" style="50" bestFit="1" customWidth="1"/>
    <col min="7" max="7" width="14.28515625" style="50" customWidth="1"/>
    <col min="8" max="8" width="99.5703125" style="23" customWidth="1"/>
    <col min="9" max="9" width="68.28515625" style="50" customWidth="1"/>
    <col min="10" max="16384" width="9.140625" style="50"/>
  </cols>
  <sheetData>
    <row r="1" spans="1:9" s="34" customFormat="1" x14ac:dyDescent="0.2">
      <c r="H1" s="61"/>
    </row>
    <row r="2" spans="1:9" s="75" customFormat="1" ht="45" customHeight="1" x14ac:dyDescent="0.35">
      <c r="A2" s="231" t="s">
        <v>276</v>
      </c>
      <c r="B2" s="231"/>
      <c r="C2" s="231"/>
      <c r="D2" s="231"/>
      <c r="E2" s="231"/>
      <c r="F2" s="231"/>
      <c r="G2" s="231"/>
      <c r="H2" s="231"/>
      <c r="I2" s="231"/>
    </row>
    <row r="3" spans="1:9" s="34" customFormat="1" ht="13.5" thickBot="1" x14ac:dyDescent="0.25">
      <c r="A3" s="13"/>
      <c r="H3" s="61"/>
    </row>
    <row r="4" spans="1:9" s="58" customFormat="1" ht="20.25" thickBot="1" x14ac:dyDescent="0.45">
      <c r="A4" s="68" t="s">
        <v>426</v>
      </c>
      <c r="B4" s="69"/>
      <c r="C4" s="69"/>
      <c r="D4" s="69"/>
      <c r="E4" s="69"/>
      <c r="F4" s="69"/>
      <c r="G4" s="69"/>
      <c r="H4" s="71"/>
    </row>
    <row r="5" spans="1:9" s="60" customFormat="1" ht="15.75" thickBot="1" x14ac:dyDescent="0.35">
      <c r="A5" s="59" t="s">
        <v>8</v>
      </c>
      <c r="B5" s="59" t="s">
        <v>7</v>
      </c>
      <c r="C5" s="74" t="s">
        <v>258</v>
      </c>
      <c r="D5" s="59" t="s">
        <v>259</v>
      </c>
      <c r="E5" s="59" t="s">
        <v>9</v>
      </c>
      <c r="F5" s="59" t="s">
        <v>260</v>
      </c>
      <c r="G5" s="63" t="s">
        <v>266</v>
      </c>
      <c r="H5" s="67" t="s">
        <v>10</v>
      </c>
    </row>
    <row r="6" spans="1:9" s="21" customFormat="1" ht="17.25" x14ac:dyDescent="0.35">
      <c r="A6" s="76" t="s">
        <v>11</v>
      </c>
      <c r="B6" s="11">
        <v>5</v>
      </c>
      <c r="C6" s="33" t="s">
        <v>261</v>
      </c>
      <c r="D6" s="55">
        <v>1</v>
      </c>
      <c r="E6" s="77" t="s">
        <v>15</v>
      </c>
      <c r="F6" s="33">
        <v>2</v>
      </c>
      <c r="G6" s="37" t="s">
        <v>274</v>
      </c>
      <c r="H6" s="78"/>
    </row>
    <row r="7" spans="1:9" s="21" customFormat="1" ht="17.25" x14ac:dyDescent="0.35">
      <c r="A7" s="76" t="s">
        <v>12</v>
      </c>
      <c r="B7" s="11">
        <v>6</v>
      </c>
      <c r="C7" s="33" t="s">
        <v>261</v>
      </c>
      <c r="D7" s="55">
        <v>1</v>
      </c>
      <c r="E7" s="77" t="s">
        <v>16</v>
      </c>
      <c r="F7" s="33">
        <v>6</v>
      </c>
      <c r="G7" s="37" t="s">
        <v>274</v>
      </c>
      <c r="H7" s="78" t="s">
        <v>6</v>
      </c>
    </row>
    <row r="8" spans="1:9" s="21" customFormat="1" ht="17.25" x14ac:dyDescent="0.35">
      <c r="A8" s="76" t="s">
        <v>238</v>
      </c>
      <c r="B8" s="11">
        <v>34</v>
      </c>
      <c r="C8" s="33"/>
      <c r="D8" s="55"/>
      <c r="E8" s="77" t="s">
        <v>59</v>
      </c>
      <c r="F8" s="33"/>
      <c r="G8" s="37" t="s">
        <v>315</v>
      </c>
      <c r="H8" s="78"/>
    </row>
    <row r="9" spans="1:9" s="21" customFormat="1" ht="17.25" x14ac:dyDescent="0.35">
      <c r="A9" s="76"/>
      <c r="B9" s="11"/>
      <c r="C9" s="33" t="s">
        <v>261</v>
      </c>
      <c r="D9" s="55">
        <v>1</v>
      </c>
      <c r="E9" s="77" t="s">
        <v>19</v>
      </c>
      <c r="F9" s="33">
        <v>0</v>
      </c>
      <c r="G9" s="37"/>
      <c r="H9" s="78"/>
    </row>
    <row r="10" spans="1:9" s="21" customFormat="1" ht="17.25" x14ac:dyDescent="0.35">
      <c r="A10" s="76"/>
      <c r="B10" s="11"/>
      <c r="C10" s="33" t="s">
        <v>261</v>
      </c>
      <c r="D10" s="55">
        <v>1</v>
      </c>
      <c r="E10" s="77" t="s">
        <v>60</v>
      </c>
      <c r="F10" s="33">
        <v>1</v>
      </c>
      <c r="G10" s="37"/>
      <c r="H10" s="78" t="s">
        <v>20</v>
      </c>
    </row>
    <row r="11" spans="1:9" s="21" customFormat="1" ht="17.25" x14ac:dyDescent="0.35">
      <c r="A11" s="76"/>
      <c r="B11" s="11"/>
      <c r="C11" s="33" t="s">
        <v>261</v>
      </c>
      <c r="D11" s="55">
        <v>1</v>
      </c>
      <c r="E11" s="77" t="s">
        <v>61</v>
      </c>
      <c r="F11" s="33">
        <v>1</v>
      </c>
      <c r="G11" s="37"/>
      <c r="H11" s="78" t="s">
        <v>20</v>
      </c>
    </row>
    <row r="12" spans="1:9" s="21" customFormat="1" ht="17.25" x14ac:dyDescent="0.35">
      <c r="A12" s="76" t="s">
        <v>236</v>
      </c>
      <c r="B12" s="11">
        <v>35</v>
      </c>
      <c r="C12" s="33"/>
      <c r="D12" s="55"/>
      <c r="E12" s="77" t="s">
        <v>62</v>
      </c>
      <c r="F12" s="33"/>
      <c r="G12" s="37" t="s">
        <v>315</v>
      </c>
      <c r="H12" s="78"/>
    </row>
    <row r="13" spans="1:9" s="21" customFormat="1" ht="17.25" x14ac:dyDescent="0.35">
      <c r="A13" s="76"/>
      <c r="B13" s="11"/>
      <c r="C13" s="33" t="s">
        <v>261</v>
      </c>
      <c r="D13" s="55">
        <v>1</v>
      </c>
      <c r="E13" s="77" t="s">
        <v>19</v>
      </c>
      <c r="F13" s="33">
        <v>0</v>
      </c>
      <c r="G13" s="37"/>
      <c r="H13" s="78"/>
    </row>
    <row r="14" spans="1:9" s="21" customFormat="1" ht="17.25" x14ac:dyDescent="0.35">
      <c r="A14" s="76"/>
      <c r="B14" s="11"/>
      <c r="C14" s="33" t="s">
        <v>261</v>
      </c>
      <c r="D14" s="55">
        <v>1</v>
      </c>
      <c r="E14" s="77" t="s">
        <v>60</v>
      </c>
      <c r="F14" s="33">
        <v>1</v>
      </c>
      <c r="G14" s="37"/>
      <c r="H14" s="78" t="s">
        <v>20</v>
      </c>
    </row>
    <row r="15" spans="1:9" s="21" customFormat="1" ht="17.25" x14ac:dyDescent="0.35">
      <c r="A15" s="76"/>
      <c r="B15" s="11"/>
      <c r="C15" s="33" t="s">
        <v>261</v>
      </c>
      <c r="D15" s="55">
        <v>1</v>
      </c>
      <c r="E15" s="77" t="s">
        <v>61</v>
      </c>
      <c r="F15" s="33">
        <v>1</v>
      </c>
      <c r="G15" s="37"/>
      <c r="H15" s="78" t="s">
        <v>20</v>
      </c>
    </row>
    <row r="16" spans="1:9" s="21" customFormat="1" ht="17.25" x14ac:dyDescent="0.35">
      <c r="A16" s="76" t="s">
        <v>237</v>
      </c>
      <c r="B16" s="11">
        <v>36</v>
      </c>
      <c r="C16" s="33"/>
      <c r="D16" s="55"/>
      <c r="E16" s="77" t="s">
        <v>63</v>
      </c>
      <c r="F16" s="33"/>
      <c r="G16" s="37" t="s">
        <v>315</v>
      </c>
      <c r="H16" s="78"/>
    </row>
    <row r="17" spans="1:8" s="21" customFormat="1" ht="17.25" x14ac:dyDescent="0.35">
      <c r="A17" s="76"/>
      <c r="B17" s="11"/>
      <c r="C17" s="33" t="s">
        <v>261</v>
      </c>
      <c r="D17" s="55">
        <v>1</v>
      </c>
      <c r="E17" s="77" t="s">
        <v>19</v>
      </c>
      <c r="F17" s="33">
        <v>0</v>
      </c>
      <c r="G17" s="37"/>
      <c r="H17" s="78"/>
    </row>
    <row r="18" spans="1:8" s="21" customFormat="1" ht="17.25" x14ac:dyDescent="0.35">
      <c r="A18" s="76"/>
      <c r="B18" s="11"/>
      <c r="C18" s="33" t="s">
        <v>261</v>
      </c>
      <c r="D18" s="55">
        <v>1</v>
      </c>
      <c r="E18" s="77" t="s">
        <v>60</v>
      </c>
      <c r="F18" s="33">
        <v>1</v>
      </c>
      <c r="G18" s="37"/>
      <c r="H18" s="78" t="s">
        <v>20</v>
      </c>
    </row>
    <row r="19" spans="1:8" s="21" customFormat="1" ht="17.25" x14ac:dyDescent="0.35">
      <c r="A19" s="76"/>
      <c r="B19" s="11"/>
      <c r="C19" s="33" t="s">
        <v>261</v>
      </c>
      <c r="D19" s="55">
        <v>1</v>
      </c>
      <c r="E19" s="77" t="s">
        <v>61</v>
      </c>
      <c r="F19" s="33">
        <v>1</v>
      </c>
      <c r="G19" s="37"/>
      <c r="H19" s="78" t="s">
        <v>20</v>
      </c>
    </row>
    <row r="20" spans="1:8" s="21" customFormat="1" ht="17.25" x14ac:dyDescent="0.35">
      <c r="A20" s="76" t="s">
        <v>78</v>
      </c>
      <c r="B20" s="11">
        <v>71</v>
      </c>
      <c r="C20" s="33"/>
      <c r="D20" s="55"/>
      <c r="E20" s="77" t="s">
        <v>79</v>
      </c>
      <c r="F20" s="33"/>
      <c r="G20" s="37" t="s">
        <v>274</v>
      </c>
      <c r="H20" s="78" t="s">
        <v>6</v>
      </c>
    </row>
    <row r="21" spans="1:8" s="21" customFormat="1" ht="17.25" x14ac:dyDescent="0.35">
      <c r="A21" s="76"/>
      <c r="B21" s="11"/>
      <c r="C21" s="33" t="s">
        <v>262</v>
      </c>
      <c r="D21" s="55">
        <v>13</v>
      </c>
      <c r="E21" s="77" t="s">
        <v>80</v>
      </c>
      <c r="F21" s="33" t="s">
        <v>313</v>
      </c>
      <c r="G21" s="37"/>
      <c r="H21" s="78" t="s">
        <v>6</v>
      </c>
    </row>
    <row r="22" spans="1:8" s="21" customFormat="1" ht="17.25" x14ac:dyDescent="0.35">
      <c r="A22" s="76" t="s">
        <v>54</v>
      </c>
      <c r="B22" s="11">
        <v>179</v>
      </c>
      <c r="C22" s="33" t="s">
        <v>261</v>
      </c>
      <c r="D22" s="55">
        <v>1</v>
      </c>
      <c r="E22" s="77" t="s">
        <v>55</v>
      </c>
      <c r="F22" s="33">
        <v>0</v>
      </c>
      <c r="G22" s="37" t="s">
        <v>274</v>
      </c>
      <c r="H22" s="78"/>
    </row>
    <row r="23" spans="1:8" s="21" customFormat="1" ht="17.25" x14ac:dyDescent="0.35">
      <c r="A23" s="76" t="s">
        <v>13</v>
      </c>
      <c r="B23" s="11">
        <v>240</v>
      </c>
      <c r="C23" s="33" t="s">
        <v>261</v>
      </c>
      <c r="D23" s="55">
        <v>1</v>
      </c>
      <c r="E23" s="77" t="s">
        <v>17</v>
      </c>
      <c r="F23" s="33">
        <v>0</v>
      </c>
      <c r="G23" s="37" t="s">
        <v>274</v>
      </c>
      <c r="H23" s="78" t="s">
        <v>271</v>
      </c>
    </row>
    <row r="24" spans="1:8" s="21" customFormat="1" ht="17.25" x14ac:dyDescent="0.35">
      <c r="A24" s="76" t="s">
        <v>14</v>
      </c>
      <c r="B24" s="11">
        <v>241</v>
      </c>
      <c r="C24" s="33" t="s">
        <v>261</v>
      </c>
      <c r="D24" s="55">
        <v>1</v>
      </c>
      <c r="E24" s="77" t="s">
        <v>18</v>
      </c>
      <c r="F24" s="33">
        <v>2</v>
      </c>
      <c r="G24" s="37" t="s">
        <v>274</v>
      </c>
      <c r="H24" s="78" t="s">
        <v>21</v>
      </c>
    </row>
    <row r="25" spans="1:8" s="21" customFormat="1" ht="17.25" x14ac:dyDescent="0.35">
      <c r="A25" s="76" t="s">
        <v>48</v>
      </c>
      <c r="B25" s="11">
        <v>256</v>
      </c>
      <c r="C25" s="33"/>
      <c r="D25" s="55"/>
      <c r="E25" s="77" t="s">
        <v>49</v>
      </c>
      <c r="F25" s="33"/>
      <c r="G25" s="37" t="s">
        <v>315</v>
      </c>
      <c r="H25" s="78"/>
    </row>
    <row r="26" spans="1:8" s="21" customFormat="1" ht="17.25" x14ac:dyDescent="0.35">
      <c r="A26" s="76"/>
      <c r="B26" s="11"/>
      <c r="C26" s="33" t="s">
        <v>261</v>
      </c>
      <c r="D26" s="55">
        <v>1</v>
      </c>
      <c r="E26" s="77" t="s">
        <v>19</v>
      </c>
      <c r="F26" s="33">
        <v>0</v>
      </c>
      <c r="G26" s="37"/>
      <c r="H26" s="78"/>
    </row>
    <row r="27" spans="1:8" s="21" customFormat="1" ht="17.25" x14ac:dyDescent="0.35">
      <c r="A27" s="76"/>
      <c r="B27" s="11"/>
      <c r="C27" s="33" t="s">
        <v>261</v>
      </c>
      <c r="D27" s="55">
        <v>1</v>
      </c>
      <c r="E27" s="77" t="s">
        <v>42</v>
      </c>
      <c r="F27" s="33">
        <v>1</v>
      </c>
      <c r="G27" s="37"/>
      <c r="H27" s="78" t="s">
        <v>42</v>
      </c>
    </row>
    <row r="28" spans="1:8" s="21" customFormat="1" ht="17.25" x14ac:dyDescent="0.35">
      <c r="A28" s="76" t="s">
        <v>40</v>
      </c>
      <c r="B28" s="11">
        <v>260</v>
      </c>
      <c r="C28" s="33"/>
      <c r="D28" s="55"/>
      <c r="E28" s="77" t="s">
        <v>41</v>
      </c>
      <c r="F28" s="33"/>
      <c r="G28" s="37" t="s">
        <v>315</v>
      </c>
      <c r="H28" s="78"/>
    </row>
    <row r="29" spans="1:8" s="21" customFormat="1" ht="17.25" x14ac:dyDescent="0.35">
      <c r="A29" s="76"/>
      <c r="B29" s="11"/>
      <c r="C29" s="33" t="s">
        <v>261</v>
      </c>
      <c r="D29" s="55">
        <v>1</v>
      </c>
      <c r="E29" s="77" t="s">
        <v>19</v>
      </c>
      <c r="F29" s="33">
        <v>0</v>
      </c>
      <c r="G29" s="37"/>
      <c r="H29" s="78"/>
    </row>
    <row r="30" spans="1:8" s="21" customFormat="1" ht="17.25" x14ac:dyDescent="0.35">
      <c r="A30" s="76"/>
      <c r="B30" s="11"/>
      <c r="C30" s="33" t="s">
        <v>261</v>
      </c>
      <c r="D30" s="55">
        <v>1</v>
      </c>
      <c r="E30" s="77" t="s">
        <v>42</v>
      </c>
      <c r="F30" s="33">
        <v>1</v>
      </c>
      <c r="G30" s="37"/>
      <c r="H30" s="78" t="s">
        <v>20</v>
      </c>
    </row>
    <row r="31" spans="1:8" s="21" customFormat="1" ht="17.25" x14ac:dyDescent="0.35">
      <c r="A31" s="76" t="s">
        <v>56</v>
      </c>
      <c r="B31" s="11">
        <v>291</v>
      </c>
      <c r="C31" s="33" t="s">
        <v>261</v>
      </c>
      <c r="D31" s="55">
        <v>1</v>
      </c>
      <c r="E31" s="77" t="s">
        <v>57</v>
      </c>
      <c r="F31" s="33">
        <v>0</v>
      </c>
      <c r="G31" s="37" t="s">
        <v>274</v>
      </c>
      <c r="H31" s="78" t="s">
        <v>58</v>
      </c>
    </row>
    <row r="32" spans="1:8" s="21" customFormat="1" ht="17.25" x14ac:dyDescent="0.35">
      <c r="A32" s="76" t="s">
        <v>71</v>
      </c>
      <c r="B32" s="11">
        <v>296</v>
      </c>
      <c r="C32" s="33" t="s">
        <v>261</v>
      </c>
      <c r="D32" s="55">
        <v>1</v>
      </c>
      <c r="E32" s="77" t="s">
        <v>72</v>
      </c>
      <c r="F32" s="33">
        <v>1</v>
      </c>
      <c r="G32" s="37" t="s">
        <v>274</v>
      </c>
      <c r="H32" s="78" t="s">
        <v>42</v>
      </c>
    </row>
    <row r="33" spans="1:8" s="21" customFormat="1" ht="17.25" x14ac:dyDescent="0.35">
      <c r="A33" s="76" t="s">
        <v>50</v>
      </c>
      <c r="B33" s="11">
        <v>405</v>
      </c>
      <c r="C33" s="33"/>
      <c r="D33" s="55"/>
      <c r="E33" s="77" t="s">
        <v>51</v>
      </c>
      <c r="F33" s="33"/>
      <c r="G33" s="37" t="s">
        <v>274</v>
      </c>
      <c r="H33" s="78"/>
    </row>
    <row r="34" spans="1:8" s="21" customFormat="1" ht="17.25" x14ac:dyDescent="0.35">
      <c r="A34" s="76"/>
      <c r="B34" s="11"/>
      <c r="C34" s="33" t="s">
        <v>261</v>
      </c>
      <c r="D34" s="55">
        <v>2</v>
      </c>
      <c r="E34" s="77" t="s">
        <v>52</v>
      </c>
      <c r="F34" s="33">
        <v>3</v>
      </c>
      <c r="G34" s="37"/>
      <c r="H34" s="78" t="s">
        <v>53</v>
      </c>
    </row>
    <row r="35" spans="1:8" s="21" customFormat="1" ht="17.25" x14ac:dyDescent="0.35">
      <c r="A35" s="76" t="s">
        <v>368</v>
      </c>
      <c r="B35" s="11">
        <v>409</v>
      </c>
      <c r="C35" s="33" t="s">
        <v>261</v>
      </c>
      <c r="D35" s="55">
        <v>1</v>
      </c>
      <c r="E35" s="77" t="s">
        <v>369</v>
      </c>
      <c r="F35" s="33" t="s">
        <v>338</v>
      </c>
      <c r="G35" s="37" t="s">
        <v>274</v>
      </c>
      <c r="H35" s="78" t="s">
        <v>68</v>
      </c>
    </row>
    <row r="36" spans="1:8" s="21" customFormat="1" ht="17.25" x14ac:dyDescent="0.35">
      <c r="A36" s="76" t="s">
        <v>43</v>
      </c>
      <c r="B36" s="11">
        <v>423</v>
      </c>
      <c r="C36" s="33" t="s">
        <v>261</v>
      </c>
      <c r="D36" s="55">
        <v>4</v>
      </c>
      <c r="E36" s="77" t="s">
        <v>44</v>
      </c>
      <c r="F36" s="33" t="s">
        <v>45</v>
      </c>
      <c r="G36" s="37" t="s">
        <v>274</v>
      </c>
      <c r="H36" s="78"/>
    </row>
    <row r="37" spans="1:8" s="21" customFormat="1" ht="17.25" x14ac:dyDescent="0.35">
      <c r="A37" s="76" t="s">
        <v>46</v>
      </c>
      <c r="B37" s="11">
        <v>424</v>
      </c>
      <c r="C37" s="33" t="s">
        <v>261</v>
      </c>
      <c r="D37" s="55">
        <v>4</v>
      </c>
      <c r="E37" s="77" t="s">
        <v>47</v>
      </c>
      <c r="F37" s="33" t="s">
        <v>45</v>
      </c>
      <c r="G37" s="37" t="s">
        <v>274</v>
      </c>
      <c r="H37" s="78"/>
    </row>
    <row r="38" spans="1:8" s="21" customFormat="1" ht="17.25" x14ac:dyDescent="0.35">
      <c r="A38" s="76" t="s">
        <v>22</v>
      </c>
      <c r="B38" s="11">
        <v>429</v>
      </c>
      <c r="C38" s="33" t="s">
        <v>261</v>
      </c>
      <c r="D38" s="55">
        <v>1</v>
      </c>
      <c r="E38" s="77" t="s">
        <v>23</v>
      </c>
      <c r="F38" s="33">
        <v>1</v>
      </c>
      <c r="G38" s="37" t="s">
        <v>274</v>
      </c>
      <c r="H38" s="78"/>
    </row>
    <row r="39" spans="1:8" s="21" customFormat="1" ht="17.25" x14ac:dyDescent="0.35">
      <c r="A39" s="76" t="s">
        <v>24</v>
      </c>
      <c r="B39" s="11">
        <v>450</v>
      </c>
      <c r="C39" s="33" t="s">
        <v>261</v>
      </c>
      <c r="D39" s="55">
        <v>1</v>
      </c>
      <c r="E39" s="77" t="s">
        <v>25</v>
      </c>
      <c r="F39" s="33">
        <v>1</v>
      </c>
      <c r="G39" s="37" t="s">
        <v>274</v>
      </c>
      <c r="H39" s="78"/>
    </row>
    <row r="40" spans="1:8" s="21" customFormat="1" ht="17.25" x14ac:dyDescent="0.35">
      <c r="A40" s="76" t="s">
        <v>64</v>
      </c>
      <c r="B40" s="11">
        <v>459</v>
      </c>
      <c r="C40" s="33" t="s">
        <v>261</v>
      </c>
      <c r="D40" s="55">
        <v>1</v>
      </c>
      <c r="E40" s="77" t="s">
        <v>65</v>
      </c>
      <c r="F40" s="33">
        <v>2</v>
      </c>
      <c r="G40" s="37" t="s">
        <v>274</v>
      </c>
      <c r="H40" s="78"/>
    </row>
    <row r="41" spans="1:8" s="21" customFormat="1" ht="51.75" x14ac:dyDescent="0.35">
      <c r="A41" s="76" t="s">
        <v>366</v>
      </c>
      <c r="B41" s="11">
        <v>562</v>
      </c>
      <c r="C41" s="33" t="s">
        <v>261</v>
      </c>
      <c r="D41" s="55">
        <v>1</v>
      </c>
      <c r="E41" s="77" t="s">
        <v>381</v>
      </c>
      <c r="F41" s="33">
        <v>1</v>
      </c>
      <c r="G41" s="37" t="s">
        <v>274</v>
      </c>
      <c r="H41" s="78" t="s">
        <v>516</v>
      </c>
    </row>
    <row r="42" spans="1:8" s="21" customFormat="1" ht="17.25" x14ac:dyDescent="0.35">
      <c r="A42" s="76" t="s">
        <v>76</v>
      </c>
      <c r="B42" s="11">
        <v>707</v>
      </c>
      <c r="C42" s="33" t="s">
        <v>261</v>
      </c>
      <c r="D42" s="55">
        <v>1</v>
      </c>
      <c r="E42" s="77" t="s">
        <v>77</v>
      </c>
      <c r="F42" s="33">
        <v>1</v>
      </c>
      <c r="G42" s="37" t="s">
        <v>274</v>
      </c>
      <c r="H42" s="78"/>
    </row>
    <row r="43" spans="1:8" s="21" customFormat="1" ht="17.25" x14ac:dyDescent="0.35">
      <c r="A43" s="76" t="s">
        <v>66</v>
      </c>
      <c r="B43" s="11">
        <v>818</v>
      </c>
      <c r="C43" s="33" t="s">
        <v>261</v>
      </c>
      <c r="D43" s="55">
        <v>1</v>
      </c>
      <c r="E43" s="77" t="s">
        <v>67</v>
      </c>
      <c r="F43" s="33" t="s">
        <v>367</v>
      </c>
      <c r="G43" s="37" t="s">
        <v>274</v>
      </c>
      <c r="H43" s="78" t="s">
        <v>68</v>
      </c>
    </row>
    <row r="44" spans="1:8" s="21" customFormat="1" ht="17.25" x14ac:dyDescent="0.35">
      <c r="A44" s="76" t="s">
        <v>81</v>
      </c>
      <c r="B44" s="11">
        <v>855</v>
      </c>
      <c r="C44" s="33" t="s">
        <v>261</v>
      </c>
      <c r="D44" s="55">
        <v>1</v>
      </c>
      <c r="E44" s="77" t="s">
        <v>82</v>
      </c>
      <c r="F44" s="33">
        <v>1</v>
      </c>
      <c r="G44" s="37" t="s">
        <v>274</v>
      </c>
      <c r="H44" s="78"/>
    </row>
    <row r="45" spans="1:8" s="21" customFormat="1" ht="17.25" x14ac:dyDescent="0.35">
      <c r="A45" s="76" t="s">
        <v>278</v>
      </c>
      <c r="B45" s="11">
        <v>880</v>
      </c>
      <c r="C45" s="33" t="s">
        <v>261</v>
      </c>
      <c r="D45" s="55">
        <v>1</v>
      </c>
      <c r="E45" s="77"/>
      <c r="F45" s="33">
        <v>1</v>
      </c>
      <c r="G45" s="37" t="s">
        <v>274</v>
      </c>
      <c r="H45" s="78"/>
    </row>
    <row r="46" spans="1:8" s="21" customFormat="1" ht="17.25" x14ac:dyDescent="0.35">
      <c r="A46" s="76" t="s">
        <v>279</v>
      </c>
      <c r="B46" s="11">
        <v>881</v>
      </c>
      <c r="C46" s="33" t="s">
        <v>261</v>
      </c>
      <c r="D46" s="55">
        <v>1</v>
      </c>
      <c r="E46" s="77"/>
      <c r="F46" s="33">
        <v>1</v>
      </c>
      <c r="G46" s="37" t="s">
        <v>274</v>
      </c>
      <c r="H46" s="78"/>
    </row>
    <row r="47" spans="1:8" s="21" customFormat="1" ht="17.25" x14ac:dyDescent="0.35">
      <c r="A47" s="76" t="s">
        <v>280</v>
      </c>
      <c r="B47" s="11">
        <v>882</v>
      </c>
      <c r="C47" s="33" t="s">
        <v>261</v>
      </c>
      <c r="D47" s="55">
        <v>1</v>
      </c>
      <c r="E47" s="77"/>
      <c r="F47" s="33" t="s">
        <v>129</v>
      </c>
      <c r="G47" s="37" t="s">
        <v>274</v>
      </c>
      <c r="H47" s="78"/>
    </row>
    <row r="48" spans="1:8" s="21" customFormat="1" ht="17.25" x14ac:dyDescent="0.35">
      <c r="A48" s="76" t="s">
        <v>26</v>
      </c>
      <c r="B48" s="11">
        <v>928</v>
      </c>
      <c r="C48" s="33" t="s">
        <v>261</v>
      </c>
      <c r="D48" s="55">
        <v>2</v>
      </c>
      <c r="E48" s="77" t="s">
        <v>27</v>
      </c>
      <c r="F48" s="33" t="s">
        <v>272</v>
      </c>
      <c r="G48" s="37" t="s">
        <v>274</v>
      </c>
      <c r="H48" s="78"/>
    </row>
    <row r="49" spans="1:8" s="21" customFormat="1" ht="17.25" x14ac:dyDescent="0.35">
      <c r="A49" s="76" t="s">
        <v>28</v>
      </c>
      <c r="B49" s="11">
        <v>929</v>
      </c>
      <c r="C49" s="33" t="s">
        <v>261</v>
      </c>
      <c r="D49" s="55">
        <v>2</v>
      </c>
      <c r="E49" s="77" t="s">
        <v>29</v>
      </c>
      <c r="F49" s="33" t="s">
        <v>30</v>
      </c>
      <c r="G49" s="37" t="s">
        <v>274</v>
      </c>
      <c r="H49" s="78" t="s">
        <v>31</v>
      </c>
    </row>
    <row r="50" spans="1:8" s="21" customFormat="1" ht="17.25" x14ac:dyDescent="0.35">
      <c r="A50" s="76" t="s">
        <v>69</v>
      </c>
      <c r="B50" s="11">
        <v>1018</v>
      </c>
      <c r="C50" s="33" t="s">
        <v>261</v>
      </c>
      <c r="D50" s="55">
        <v>2</v>
      </c>
      <c r="E50" s="77" t="s">
        <v>70</v>
      </c>
      <c r="F50" s="33" t="s">
        <v>603</v>
      </c>
      <c r="G50" s="37" t="s">
        <v>274</v>
      </c>
      <c r="H50" s="78"/>
    </row>
    <row r="51" spans="1:8" s="21" customFormat="1" ht="17.25" x14ac:dyDescent="0.35">
      <c r="A51" s="76" t="s">
        <v>362</v>
      </c>
      <c r="B51" s="11">
        <v>441</v>
      </c>
      <c r="C51" s="33"/>
      <c r="D51" s="55"/>
      <c r="E51" s="77"/>
      <c r="F51" s="33"/>
      <c r="G51" s="37" t="s">
        <v>315</v>
      </c>
      <c r="H51" s="78"/>
    </row>
    <row r="52" spans="1:8" s="21" customFormat="1" ht="17.25" x14ac:dyDescent="0.35">
      <c r="A52" s="76"/>
      <c r="B52" s="11"/>
      <c r="C52" s="33" t="s">
        <v>261</v>
      </c>
      <c r="D52" s="55">
        <v>1</v>
      </c>
      <c r="E52" s="77" t="s">
        <v>19</v>
      </c>
      <c r="F52" s="33">
        <v>0</v>
      </c>
      <c r="G52" s="37"/>
      <c r="H52" s="78"/>
    </row>
    <row r="53" spans="1:8" s="21" customFormat="1" ht="17.25" x14ac:dyDescent="0.35">
      <c r="A53" s="76"/>
      <c r="B53" s="11"/>
      <c r="C53" s="33" t="s">
        <v>261</v>
      </c>
      <c r="D53" s="55">
        <v>2</v>
      </c>
      <c r="E53" s="77" t="s">
        <v>341</v>
      </c>
      <c r="F53" s="33" t="s">
        <v>351</v>
      </c>
      <c r="G53" s="37"/>
      <c r="H53" s="78" t="s">
        <v>6</v>
      </c>
    </row>
    <row r="54" spans="1:8" s="21" customFormat="1" ht="17.25" x14ac:dyDescent="0.35">
      <c r="A54" s="76" t="s">
        <v>342</v>
      </c>
      <c r="B54" s="11">
        <v>946</v>
      </c>
      <c r="C54" s="33"/>
      <c r="D54" s="55"/>
      <c r="E54" s="77"/>
      <c r="F54" s="33"/>
      <c r="G54" s="37" t="s">
        <v>315</v>
      </c>
      <c r="H54" s="78"/>
    </row>
    <row r="55" spans="1:8" s="21" customFormat="1" ht="17.25" x14ac:dyDescent="0.35">
      <c r="A55" s="76"/>
      <c r="B55" s="11"/>
      <c r="C55" s="33" t="s">
        <v>261</v>
      </c>
      <c r="D55" s="55">
        <v>1</v>
      </c>
      <c r="E55" s="77" t="s">
        <v>19</v>
      </c>
      <c r="F55" s="33">
        <v>0</v>
      </c>
      <c r="G55" s="37"/>
      <c r="H55" s="78"/>
    </row>
    <row r="56" spans="1:8" s="21" customFormat="1" ht="17.25" x14ac:dyDescent="0.35">
      <c r="A56" s="76"/>
      <c r="B56" s="11"/>
      <c r="C56" s="33" t="s">
        <v>261</v>
      </c>
      <c r="D56" s="55">
        <v>2</v>
      </c>
      <c r="E56" s="77" t="s">
        <v>343</v>
      </c>
      <c r="F56" s="33" t="s">
        <v>352</v>
      </c>
      <c r="G56" s="37"/>
      <c r="H56" s="78" t="s">
        <v>6</v>
      </c>
    </row>
    <row r="57" spans="1:8" s="21" customFormat="1" ht="17.25" x14ac:dyDescent="0.35">
      <c r="A57" s="76" t="s">
        <v>344</v>
      </c>
      <c r="B57" s="11">
        <v>2954</v>
      </c>
      <c r="C57" s="33"/>
      <c r="D57" s="55"/>
      <c r="E57" s="77"/>
      <c r="F57" s="33"/>
      <c r="G57" s="37" t="s">
        <v>315</v>
      </c>
      <c r="H57" s="78"/>
    </row>
    <row r="58" spans="1:8" s="21" customFormat="1" ht="17.25" x14ac:dyDescent="0.35">
      <c r="A58" s="76"/>
      <c r="B58" s="11"/>
      <c r="C58" s="33" t="s">
        <v>261</v>
      </c>
      <c r="D58" s="55">
        <v>1</v>
      </c>
      <c r="E58" s="77" t="s">
        <v>19</v>
      </c>
      <c r="F58" s="33">
        <v>0</v>
      </c>
      <c r="G58" s="37"/>
      <c r="H58" s="78"/>
    </row>
    <row r="59" spans="1:8" s="21" customFormat="1" ht="17.25" x14ac:dyDescent="0.35">
      <c r="A59" s="76"/>
      <c r="B59" s="11"/>
      <c r="C59" s="33" t="s">
        <v>261</v>
      </c>
      <c r="D59" s="55">
        <v>4</v>
      </c>
      <c r="E59" s="77" t="s">
        <v>345</v>
      </c>
      <c r="F59" s="33" t="s">
        <v>287</v>
      </c>
      <c r="G59" s="37"/>
      <c r="H59" s="78" t="s">
        <v>6</v>
      </c>
    </row>
    <row r="60" spans="1:8" s="21" customFormat="1" ht="17.25" x14ac:dyDescent="0.35">
      <c r="A60" s="76"/>
      <c r="B60" s="11"/>
      <c r="C60" s="33"/>
      <c r="D60" s="55"/>
      <c r="E60" s="77"/>
      <c r="F60" s="33"/>
      <c r="G60" s="37"/>
      <c r="H60" s="78"/>
    </row>
    <row r="61" spans="1:8" s="21" customFormat="1" ht="17.25" x14ac:dyDescent="0.35">
      <c r="A61" s="76" t="s">
        <v>281</v>
      </c>
      <c r="B61" s="11">
        <v>1896</v>
      </c>
      <c r="C61" s="33" t="s">
        <v>261</v>
      </c>
      <c r="D61" s="55">
        <v>1</v>
      </c>
      <c r="E61" s="77" t="s">
        <v>282</v>
      </c>
      <c r="F61" s="33" t="s">
        <v>4</v>
      </c>
      <c r="G61" s="37" t="s">
        <v>274</v>
      </c>
      <c r="H61" s="78"/>
    </row>
    <row r="62" spans="1:8" s="21" customFormat="1" ht="17.25" x14ac:dyDescent="0.35">
      <c r="A62" s="76" t="s">
        <v>38</v>
      </c>
      <c r="B62" s="11">
        <v>1907</v>
      </c>
      <c r="C62" s="33" t="s">
        <v>261</v>
      </c>
      <c r="D62" s="55">
        <v>1</v>
      </c>
      <c r="E62" s="77" t="s">
        <v>39</v>
      </c>
      <c r="F62" s="33">
        <v>0</v>
      </c>
      <c r="G62" s="37" t="s">
        <v>274</v>
      </c>
      <c r="H62" s="78"/>
    </row>
    <row r="63" spans="1:8" s="21" customFormat="1" ht="17.25" x14ac:dyDescent="0.35">
      <c r="A63" s="76" t="s">
        <v>32</v>
      </c>
      <c r="B63" s="11">
        <v>3458</v>
      </c>
      <c r="C63" s="33"/>
      <c r="D63" s="55"/>
      <c r="E63" s="77" t="s">
        <v>33</v>
      </c>
      <c r="F63" s="33"/>
      <c r="G63" s="37" t="s">
        <v>274</v>
      </c>
      <c r="H63" s="78"/>
    </row>
    <row r="64" spans="1:8" s="21" customFormat="1" ht="17.25" x14ac:dyDescent="0.35">
      <c r="A64" s="76"/>
      <c r="B64" s="11"/>
      <c r="C64" s="33" t="s">
        <v>261</v>
      </c>
      <c r="D64" s="55">
        <v>1</v>
      </c>
      <c r="E64" s="77" t="s">
        <v>34</v>
      </c>
      <c r="F64" s="33">
        <v>0</v>
      </c>
      <c r="G64" s="37"/>
      <c r="H64" s="78" t="s">
        <v>35</v>
      </c>
    </row>
    <row r="65" spans="1:8" s="21" customFormat="1" ht="17.25" x14ac:dyDescent="0.35">
      <c r="A65" s="76"/>
      <c r="B65" s="11"/>
      <c r="C65" s="33" t="s">
        <v>261</v>
      </c>
      <c r="D65" s="55">
        <v>4</v>
      </c>
      <c r="E65" s="77" t="s">
        <v>249</v>
      </c>
      <c r="F65" s="33">
        <v>0</v>
      </c>
      <c r="G65" s="37"/>
      <c r="H65" s="78"/>
    </row>
    <row r="66" spans="1:8" s="21" customFormat="1" ht="17.25" x14ac:dyDescent="0.35">
      <c r="A66" s="76"/>
      <c r="B66" s="11"/>
      <c r="C66" s="33" t="s">
        <v>261</v>
      </c>
      <c r="D66" s="55">
        <v>4</v>
      </c>
      <c r="E66" s="77" t="s">
        <v>250</v>
      </c>
      <c r="F66" s="33">
        <v>0</v>
      </c>
      <c r="G66" s="37"/>
      <c r="H66" s="78"/>
    </row>
    <row r="67" spans="1:8" s="21" customFormat="1" ht="17.25" x14ac:dyDescent="0.35">
      <c r="A67" s="76"/>
      <c r="B67" s="11"/>
      <c r="C67" s="33" t="s">
        <v>261</v>
      </c>
      <c r="D67" s="55">
        <v>4</v>
      </c>
      <c r="E67" s="77" t="s">
        <v>251</v>
      </c>
      <c r="F67" s="33">
        <v>0</v>
      </c>
      <c r="G67" s="37"/>
      <c r="H67" s="78"/>
    </row>
    <row r="68" spans="1:8" s="21" customFormat="1" ht="17.25" x14ac:dyDescent="0.35">
      <c r="A68" s="76" t="s">
        <v>296</v>
      </c>
      <c r="B68" s="11">
        <v>4102</v>
      </c>
      <c r="C68" s="33" t="s">
        <v>261</v>
      </c>
      <c r="D68" s="55">
        <v>1</v>
      </c>
      <c r="E68" s="77"/>
      <c r="F68" s="33">
        <v>1</v>
      </c>
      <c r="G68" s="37" t="s">
        <v>274</v>
      </c>
      <c r="H68" s="78"/>
    </row>
    <row r="69" spans="1:8" s="21" customFormat="1" ht="17.25" x14ac:dyDescent="0.35">
      <c r="A69" s="76" t="s">
        <v>36</v>
      </c>
      <c r="B69" s="11">
        <v>4204</v>
      </c>
      <c r="C69" s="33" t="s">
        <v>261</v>
      </c>
      <c r="D69" s="55">
        <v>1</v>
      </c>
      <c r="E69" s="77" t="s">
        <v>37</v>
      </c>
      <c r="F69" s="33">
        <v>0</v>
      </c>
      <c r="G69" s="37" t="s">
        <v>274</v>
      </c>
      <c r="H69" s="78"/>
    </row>
    <row r="70" spans="1:8" s="21" customFormat="1" ht="17.25" x14ac:dyDescent="0.35">
      <c r="A70" s="76" t="s">
        <v>83</v>
      </c>
      <c r="B70" s="11">
        <v>3532</v>
      </c>
      <c r="C70" s="33" t="s">
        <v>261</v>
      </c>
      <c r="D70" s="55">
        <v>1</v>
      </c>
      <c r="E70" s="77" t="s">
        <v>84</v>
      </c>
      <c r="F70" s="33">
        <v>135</v>
      </c>
      <c r="G70" s="37" t="s">
        <v>274</v>
      </c>
      <c r="H70" s="78" t="s">
        <v>519</v>
      </c>
    </row>
    <row r="71" spans="1:8" s="21" customFormat="1" ht="17.25" x14ac:dyDescent="0.35">
      <c r="A71" s="76" t="s">
        <v>85</v>
      </c>
      <c r="B71" s="11">
        <v>3533</v>
      </c>
      <c r="C71" s="33" t="s">
        <v>261</v>
      </c>
      <c r="D71" s="55">
        <v>1</v>
      </c>
      <c r="E71" s="77" t="s">
        <v>86</v>
      </c>
      <c r="F71" s="33">
        <v>30</v>
      </c>
      <c r="G71" s="37" t="s">
        <v>274</v>
      </c>
      <c r="H71" s="78" t="s">
        <v>520</v>
      </c>
    </row>
    <row r="72" spans="1:8" s="21" customFormat="1" ht="17.25" x14ac:dyDescent="0.35">
      <c r="A72" s="76" t="s">
        <v>73</v>
      </c>
      <c r="B72" s="11">
        <v>4366</v>
      </c>
      <c r="C72" s="33"/>
      <c r="D72" s="55"/>
      <c r="E72" s="77" t="s">
        <v>74</v>
      </c>
      <c r="F72" s="33"/>
      <c r="G72" s="37" t="s">
        <v>274</v>
      </c>
      <c r="H72" s="78"/>
    </row>
    <row r="73" spans="1:8" s="21" customFormat="1" ht="17.25" x14ac:dyDescent="0.35">
      <c r="A73" s="76"/>
      <c r="B73" s="11"/>
      <c r="C73" s="33" t="s">
        <v>261</v>
      </c>
      <c r="D73" s="55">
        <v>4</v>
      </c>
      <c r="E73" s="77" t="s">
        <v>75</v>
      </c>
      <c r="F73" s="33">
        <v>1</v>
      </c>
      <c r="G73" s="37"/>
      <c r="H73" s="78" t="s">
        <v>255</v>
      </c>
    </row>
    <row r="74" spans="1:8" s="21" customFormat="1" ht="17.25" x14ac:dyDescent="0.35">
      <c r="A74" s="76" t="s">
        <v>283</v>
      </c>
      <c r="B74" s="11">
        <v>4964</v>
      </c>
      <c r="C74" s="33" t="s">
        <v>261</v>
      </c>
      <c r="D74" s="55">
        <v>2</v>
      </c>
      <c r="E74" s="77"/>
      <c r="F74" s="33">
        <v>4</v>
      </c>
      <c r="G74" s="37" t="s">
        <v>274</v>
      </c>
      <c r="H74" s="78"/>
    </row>
    <row r="75" spans="1:8" s="21" customFormat="1" ht="17.25" x14ac:dyDescent="0.35">
      <c r="A75" s="76" t="s">
        <v>284</v>
      </c>
      <c r="B75" s="11">
        <v>6862</v>
      </c>
      <c r="C75" s="33" t="s">
        <v>261</v>
      </c>
      <c r="D75" s="55">
        <v>1</v>
      </c>
      <c r="E75" s="77"/>
      <c r="F75" s="33">
        <v>1</v>
      </c>
      <c r="G75" s="37" t="s">
        <v>274</v>
      </c>
      <c r="H75" s="78"/>
    </row>
    <row r="76" spans="1:8" s="21" customFormat="1" ht="17.25" x14ac:dyDescent="0.35">
      <c r="A76" s="76" t="s">
        <v>297</v>
      </c>
      <c r="B76" s="11">
        <v>7166</v>
      </c>
      <c r="C76" s="33" t="s">
        <v>261</v>
      </c>
      <c r="D76" s="55">
        <v>1</v>
      </c>
      <c r="E76" s="77"/>
      <c r="F76" s="33">
        <v>1</v>
      </c>
      <c r="G76" s="37" t="s">
        <v>274</v>
      </c>
      <c r="H76" s="78"/>
    </row>
    <row r="77" spans="1:8" s="21" customFormat="1" ht="17.25" x14ac:dyDescent="0.35">
      <c r="A77" s="76" t="s">
        <v>144</v>
      </c>
      <c r="B77" s="11">
        <v>10</v>
      </c>
      <c r="C77" s="33"/>
      <c r="D77" s="55"/>
      <c r="E77" s="77" t="s">
        <v>145</v>
      </c>
      <c r="F77" s="33"/>
      <c r="G77" s="37" t="s">
        <v>315</v>
      </c>
      <c r="H77" s="78" t="s">
        <v>6</v>
      </c>
    </row>
    <row r="78" spans="1:8" s="21" customFormat="1" ht="17.25" x14ac:dyDescent="0.35">
      <c r="A78" s="76"/>
      <c r="B78" s="11"/>
      <c r="C78" s="33" t="s">
        <v>261</v>
      </c>
      <c r="D78" s="55">
        <v>1</v>
      </c>
      <c r="E78" s="77" t="s">
        <v>19</v>
      </c>
      <c r="F78" s="33">
        <v>0</v>
      </c>
      <c r="G78" s="37"/>
      <c r="H78" s="78"/>
    </row>
    <row r="79" spans="1:8" s="21" customFormat="1" ht="17.25" x14ac:dyDescent="0.35">
      <c r="A79" s="76"/>
      <c r="B79" s="11"/>
      <c r="C79" s="33" t="s">
        <v>261</v>
      </c>
      <c r="D79" s="55">
        <v>2</v>
      </c>
      <c r="E79" s="77" t="s">
        <v>146</v>
      </c>
      <c r="F79" s="33">
        <v>4</v>
      </c>
      <c r="G79" s="37"/>
      <c r="H79" s="78" t="s">
        <v>6</v>
      </c>
    </row>
    <row r="80" spans="1:8" s="21" customFormat="1" ht="17.25" x14ac:dyDescent="0.35">
      <c r="A80" s="76" t="s">
        <v>226</v>
      </c>
      <c r="B80" s="11">
        <v>460</v>
      </c>
      <c r="C80" s="33" t="s">
        <v>261</v>
      </c>
      <c r="D80" s="55">
        <v>1</v>
      </c>
      <c r="E80" s="77" t="s">
        <v>119</v>
      </c>
      <c r="F80" s="33">
        <v>1</v>
      </c>
      <c r="G80" s="37" t="s">
        <v>274</v>
      </c>
      <c r="H80" s="78"/>
    </row>
    <row r="81" spans="1:8" s="21" customFormat="1" ht="17.25" x14ac:dyDescent="0.35">
      <c r="A81" s="76" t="s">
        <v>227</v>
      </c>
      <c r="B81" s="11">
        <v>461</v>
      </c>
      <c r="C81" s="33" t="s">
        <v>261</v>
      </c>
      <c r="D81" s="55">
        <v>1</v>
      </c>
      <c r="E81" s="77" t="s">
        <v>120</v>
      </c>
      <c r="F81" s="33">
        <v>4</v>
      </c>
      <c r="G81" s="37" t="s">
        <v>274</v>
      </c>
      <c r="H81" s="78"/>
    </row>
    <row r="82" spans="1:8" s="21" customFormat="1" ht="17.25" x14ac:dyDescent="0.35">
      <c r="A82" s="76" t="s">
        <v>235</v>
      </c>
      <c r="B82" s="11">
        <v>462</v>
      </c>
      <c r="C82" s="33" t="s">
        <v>261</v>
      </c>
      <c r="D82" s="55">
        <v>1</v>
      </c>
      <c r="E82" s="77" t="s">
        <v>121</v>
      </c>
      <c r="F82" s="33">
        <v>30</v>
      </c>
      <c r="G82" s="37" t="s">
        <v>274</v>
      </c>
      <c r="H82" s="78"/>
    </row>
    <row r="83" spans="1:8" s="21" customFormat="1" ht="17.25" x14ac:dyDescent="0.35">
      <c r="A83" s="76" t="s">
        <v>234</v>
      </c>
      <c r="B83" s="11">
        <v>494</v>
      </c>
      <c r="C83" s="33"/>
      <c r="D83" s="55"/>
      <c r="E83" s="77" t="s">
        <v>124</v>
      </c>
      <c r="F83" s="33"/>
      <c r="G83" s="37" t="s">
        <v>315</v>
      </c>
      <c r="H83" s="78"/>
    </row>
    <row r="84" spans="1:8" s="21" customFormat="1" ht="17.25" x14ac:dyDescent="0.35">
      <c r="A84" s="76"/>
      <c r="B84" s="11"/>
      <c r="C84" s="33" t="s">
        <v>261</v>
      </c>
      <c r="D84" s="55">
        <v>1</v>
      </c>
      <c r="E84" s="77" t="s">
        <v>118</v>
      </c>
      <c r="F84" s="33">
        <v>0</v>
      </c>
      <c r="G84" s="37"/>
      <c r="H84" s="78"/>
    </row>
    <row r="85" spans="1:8" s="21" customFormat="1" ht="17.25" x14ac:dyDescent="0.35">
      <c r="A85" s="76"/>
      <c r="B85" s="11"/>
      <c r="C85" s="33" t="s">
        <v>261</v>
      </c>
      <c r="D85" s="55">
        <v>4</v>
      </c>
      <c r="E85" s="77" t="s">
        <v>125</v>
      </c>
      <c r="F85" s="33">
        <v>0</v>
      </c>
      <c r="G85" s="37"/>
      <c r="H85" s="78"/>
    </row>
    <row r="86" spans="1:8" s="21" customFormat="1" ht="17.25" x14ac:dyDescent="0.35">
      <c r="A86" s="76" t="s">
        <v>233</v>
      </c>
      <c r="B86" s="11">
        <v>546</v>
      </c>
      <c r="C86" s="33" t="s">
        <v>261</v>
      </c>
      <c r="D86" s="55">
        <v>1</v>
      </c>
      <c r="E86" s="77" t="s">
        <v>123</v>
      </c>
      <c r="F86" s="33">
        <v>0</v>
      </c>
      <c r="G86" s="37" t="s">
        <v>274</v>
      </c>
      <c r="H86" s="78"/>
    </row>
    <row r="87" spans="1:8" s="21" customFormat="1" ht="17.25" x14ac:dyDescent="0.35">
      <c r="A87" s="76" t="s">
        <v>230</v>
      </c>
      <c r="B87" s="11">
        <v>854</v>
      </c>
      <c r="C87" s="33"/>
      <c r="D87" s="55"/>
      <c r="E87" s="77" t="s">
        <v>134</v>
      </c>
      <c r="F87" s="33"/>
      <c r="G87" s="37" t="s">
        <v>315</v>
      </c>
      <c r="H87" s="78"/>
    </row>
    <row r="88" spans="1:8" s="21" customFormat="1" ht="17.25" x14ac:dyDescent="0.35">
      <c r="A88" s="76"/>
      <c r="B88" s="11"/>
      <c r="C88" s="33" t="s">
        <v>261</v>
      </c>
      <c r="D88" s="55">
        <v>1</v>
      </c>
      <c r="E88" s="77" t="s">
        <v>118</v>
      </c>
      <c r="F88" s="33">
        <v>0</v>
      </c>
      <c r="G88" s="37"/>
      <c r="H88" s="78"/>
    </row>
    <row r="89" spans="1:8" s="21" customFormat="1" ht="17.25" x14ac:dyDescent="0.35">
      <c r="A89" s="76"/>
      <c r="B89" s="11"/>
      <c r="C89" s="33" t="s">
        <v>261</v>
      </c>
      <c r="D89" s="55">
        <v>1</v>
      </c>
      <c r="E89" s="77" t="s">
        <v>135</v>
      </c>
      <c r="F89" s="33">
        <v>0</v>
      </c>
      <c r="G89" s="37"/>
      <c r="H89" s="78"/>
    </row>
    <row r="90" spans="1:8" s="21" customFormat="1" ht="17.25" x14ac:dyDescent="0.35">
      <c r="A90" s="76" t="s">
        <v>231</v>
      </c>
      <c r="B90" s="11">
        <v>889</v>
      </c>
      <c r="C90" s="33"/>
      <c r="D90" s="55"/>
      <c r="E90" s="77" t="s">
        <v>136</v>
      </c>
      <c r="F90" s="33"/>
      <c r="G90" s="37" t="s">
        <v>315</v>
      </c>
      <c r="H90" s="78" t="s">
        <v>6</v>
      </c>
    </row>
    <row r="91" spans="1:8" s="21" customFormat="1" ht="17.25" x14ac:dyDescent="0.35">
      <c r="A91" s="76"/>
      <c r="B91" s="11"/>
      <c r="C91" s="33" t="s">
        <v>261</v>
      </c>
      <c r="D91" s="55">
        <v>1</v>
      </c>
      <c r="E91" s="77" t="s">
        <v>118</v>
      </c>
      <c r="F91" s="33">
        <v>0</v>
      </c>
      <c r="G91" s="37"/>
      <c r="H91" s="78"/>
    </row>
    <row r="92" spans="1:8" s="21" customFormat="1" ht="17.25" x14ac:dyDescent="0.35">
      <c r="A92" s="76"/>
      <c r="B92" s="11"/>
      <c r="C92" s="33" t="s">
        <v>261</v>
      </c>
      <c r="D92" s="55">
        <v>1</v>
      </c>
      <c r="E92" s="77" t="s">
        <v>137</v>
      </c>
      <c r="F92" s="33" t="s">
        <v>4</v>
      </c>
      <c r="G92" s="37"/>
      <c r="H92" s="78"/>
    </row>
    <row r="93" spans="1:8" s="21" customFormat="1" ht="17.25" x14ac:dyDescent="0.35">
      <c r="A93" s="76"/>
      <c r="B93" s="11"/>
      <c r="C93" s="33" t="s">
        <v>261</v>
      </c>
      <c r="D93" s="55">
        <v>1</v>
      </c>
      <c r="E93" s="77" t="s">
        <v>138</v>
      </c>
      <c r="F93" s="33" t="s">
        <v>139</v>
      </c>
      <c r="G93" s="37"/>
      <c r="H93" s="78"/>
    </row>
    <row r="94" spans="1:8" s="21" customFormat="1" ht="17.25" x14ac:dyDescent="0.35">
      <c r="A94" s="76"/>
      <c r="B94" s="11"/>
      <c r="C94" s="33" t="s">
        <v>261</v>
      </c>
      <c r="D94" s="55">
        <v>1</v>
      </c>
      <c r="E94" s="77" t="s">
        <v>140</v>
      </c>
      <c r="F94" s="33" t="s">
        <v>141</v>
      </c>
      <c r="G94" s="37"/>
      <c r="H94" s="78"/>
    </row>
    <row r="95" spans="1:8" s="21" customFormat="1" ht="17.25" x14ac:dyDescent="0.35">
      <c r="A95" s="76" t="s">
        <v>87</v>
      </c>
      <c r="B95" s="11">
        <v>3635</v>
      </c>
      <c r="C95" s="33"/>
      <c r="D95" s="55"/>
      <c r="E95" s="77" t="s">
        <v>88</v>
      </c>
      <c r="F95" s="33"/>
      <c r="G95" s="37" t="s">
        <v>274</v>
      </c>
      <c r="H95" s="78" t="s">
        <v>6</v>
      </c>
    </row>
    <row r="96" spans="1:8" s="21" customFormat="1" ht="17.25" x14ac:dyDescent="0.35">
      <c r="A96" s="76"/>
      <c r="B96" s="11"/>
      <c r="C96" s="33" t="s">
        <v>261</v>
      </c>
      <c r="D96" s="55">
        <v>2</v>
      </c>
      <c r="E96" s="77" t="s">
        <v>89</v>
      </c>
      <c r="F96" s="33">
        <v>3</v>
      </c>
      <c r="G96" s="37"/>
      <c r="H96" s="78"/>
    </row>
    <row r="97" spans="1:9" s="21" customFormat="1" ht="17.25" x14ac:dyDescent="0.35">
      <c r="A97" s="76"/>
      <c r="B97" s="11"/>
      <c r="C97" s="33" t="s">
        <v>261</v>
      </c>
      <c r="D97" s="55">
        <v>2</v>
      </c>
      <c r="E97" s="77" t="s">
        <v>90</v>
      </c>
      <c r="F97" s="33">
        <v>25</v>
      </c>
      <c r="G97" s="37"/>
      <c r="H97" s="78"/>
    </row>
    <row r="98" spans="1:9" s="21" customFormat="1" ht="17.25" x14ac:dyDescent="0.35">
      <c r="A98" s="76"/>
      <c r="B98" s="11"/>
      <c r="C98" s="33" t="s">
        <v>261</v>
      </c>
      <c r="D98" s="55">
        <v>4</v>
      </c>
      <c r="E98" s="77" t="s">
        <v>91</v>
      </c>
      <c r="F98" s="33">
        <v>60</v>
      </c>
      <c r="G98" s="37"/>
      <c r="H98" s="78" t="s">
        <v>486</v>
      </c>
    </row>
    <row r="99" spans="1:9" s="21" customFormat="1" ht="17.25" x14ac:dyDescent="0.35">
      <c r="A99" s="76"/>
      <c r="B99" s="11"/>
      <c r="C99" s="33" t="s">
        <v>261</v>
      </c>
      <c r="D99" s="55">
        <v>4</v>
      </c>
      <c r="E99" s="77" t="s">
        <v>92</v>
      </c>
      <c r="F99" s="33">
        <v>180</v>
      </c>
      <c r="G99" s="37"/>
      <c r="H99" s="78" t="s">
        <v>487</v>
      </c>
    </row>
    <row r="100" spans="1:9" s="21" customFormat="1" ht="17.25" x14ac:dyDescent="0.35">
      <c r="A100" s="76"/>
      <c r="B100" s="11"/>
      <c r="C100" s="33" t="s">
        <v>261</v>
      </c>
      <c r="D100" s="55">
        <v>4</v>
      </c>
      <c r="E100" s="77" t="s">
        <v>93</v>
      </c>
      <c r="F100" s="33">
        <v>5</v>
      </c>
      <c r="G100" s="37"/>
      <c r="H100" s="78" t="s">
        <v>488</v>
      </c>
    </row>
    <row r="101" spans="1:9" s="21" customFormat="1" ht="17.25" x14ac:dyDescent="0.35">
      <c r="A101" s="76"/>
      <c r="B101" s="11"/>
      <c r="C101" s="33" t="s">
        <v>261</v>
      </c>
      <c r="D101" s="55">
        <v>4</v>
      </c>
      <c r="E101" s="77" t="s">
        <v>94</v>
      </c>
      <c r="F101" s="33">
        <v>1</v>
      </c>
      <c r="G101" s="37"/>
      <c r="H101" s="78" t="s">
        <v>489</v>
      </c>
    </row>
    <row r="102" spans="1:9" s="21" customFormat="1" ht="17.25" x14ac:dyDescent="0.35">
      <c r="A102" s="76"/>
      <c r="B102" s="11"/>
      <c r="C102" s="33" t="s">
        <v>261</v>
      </c>
      <c r="D102" s="55">
        <v>4</v>
      </c>
      <c r="E102" s="77" t="s">
        <v>95</v>
      </c>
      <c r="F102" s="33">
        <v>180</v>
      </c>
      <c r="G102" s="37"/>
      <c r="H102" s="78" t="s">
        <v>490</v>
      </c>
      <c r="I102" s="87"/>
    </row>
    <row r="103" spans="1:9" s="21" customFormat="1" ht="17.25" x14ac:dyDescent="0.35">
      <c r="A103" s="76"/>
      <c r="B103" s="11"/>
      <c r="C103" s="33" t="s">
        <v>261</v>
      </c>
      <c r="D103" s="55">
        <v>4</v>
      </c>
      <c r="E103" s="77" t="s">
        <v>96</v>
      </c>
      <c r="F103" s="33">
        <v>3600</v>
      </c>
      <c r="G103" s="37"/>
      <c r="H103" s="78" t="s">
        <v>492</v>
      </c>
      <c r="I103" s="87"/>
    </row>
    <row r="104" spans="1:9" s="21" customFormat="1" ht="17.25" x14ac:dyDescent="0.35">
      <c r="A104" s="76"/>
      <c r="B104" s="11"/>
      <c r="C104" s="33" t="s">
        <v>261</v>
      </c>
      <c r="D104" s="55">
        <v>4</v>
      </c>
      <c r="E104" s="77" t="s">
        <v>97</v>
      </c>
      <c r="F104" s="33">
        <v>130</v>
      </c>
      <c r="G104" s="37"/>
      <c r="H104" s="78" t="s">
        <v>493</v>
      </c>
      <c r="I104" s="87"/>
    </row>
    <row r="105" spans="1:9" s="21" customFormat="1" ht="17.25" x14ac:dyDescent="0.35">
      <c r="A105" s="76"/>
      <c r="B105" s="11"/>
      <c r="C105" s="33" t="s">
        <v>261</v>
      </c>
      <c r="D105" s="55">
        <v>4</v>
      </c>
      <c r="E105" s="77" t="s">
        <v>98</v>
      </c>
      <c r="F105" s="33">
        <v>3600</v>
      </c>
      <c r="G105" s="37"/>
      <c r="H105" s="78" t="s">
        <v>494</v>
      </c>
      <c r="I105" s="87"/>
    </row>
    <row r="106" spans="1:9" s="21" customFormat="1" ht="17.25" x14ac:dyDescent="0.35">
      <c r="A106" s="76"/>
      <c r="B106" s="11"/>
      <c r="C106" s="33" t="s">
        <v>261</v>
      </c>
      <c r="D106" s="55">
        <v>4</v>
      </c>
      <c r="E106" s="77" t="s">
        <v>99</v>
      </c>
      <c r="F106" s="33">
        <v>130</v>
      </c>
      <c r="G106" s="37"/>
      <c r="H106" s="78" t="s">
        <v>491</v>
      </c>
      <c r="I106" s="87"/>
    </row>
    <row r="107" spans="1:9" s="21" customFormat="1" ht="17.25" x14ac:dyDescent="0.35">
      <c r="A107" s="76"/>
      <c r="B107" s="11"/>
      <c r="C107" s="33" t="s">
        <v>261</v>
      </c>
      <c r="D107" s="55">
        <v>4</v>
      </c>
      <c r="E107" s="77" t="s">
        <v>100</v>
      </c>
      <c r="F107" s="33">
        <v>14</v>
      </c>
      <c r="G107" s="37"/>
      <c r="H107" s="78" t="s">
        <v>495</v>
      </c>
      <c r="I107" s="87"/>
    </row>
    <row r="108" spans="1:9" s="21" customFormat="1" ht="17.25" x14ac:dyDescent="0.35">
      <c r="A108" s="76"/>
      <c r="B108" s="11"/>
      <c r="C108" s="33" t="s">
        <v>261</v>
      </c>
      <c r="D108" s="55">
        <v>4</v>
      </c>
      <c r="E108" s="77" t="s">
        <v>101</v>
      </c>
      <c r="F108" s="33">
        <v>0</v>
      </c>
      <c r="G108" s="37"/>
      <c r="H108" s="78" t="s">
        <v>496</v>
      </c>
      <c r="I108" s="87"/>
    </row>
    <row r="109" spans="1:9" s="21" customFormat="1" ht="17.25" x14ac:dyDescent="0.35">
      <c r="A109" s="76"/>
      <c r="B109" s="11"/>
      <c r="C109" s="33" t="s">
        <v>261</v>
      </c>
      <c r="D109" s="55">
        <v>4</v>
      </c>
      <c r="E109" s="77" t="s">
        <v>102</v>
      </c>
      <c r="F109" s="33">
        <v>0</v>
      </c>
      <c r="G109" s="37"/>
      <c r="H109" s="78" t="s">
        <v>497</v>
      </c>
      <c r="I109" s="87"/>
    </row>
    <row r="110" spans="1:9" s="21" customFormat="1" ht="17.25" x14ac:dyDescent="0.35">
      <c r="A110" s="76"/>
      <c r="B110" s="11"/>
      <c r="C110" s="33" t="s">
        <v>261</v>
      </c>
      <c r="D110" s="55">
        <v>4</v>
      </c>
      <c r="E110" s="77" t="s">
        <v>103</v>
      </c>
      <c r="F110" s="33">
        <v>1</v>
      </c>
      <c r="G110" s="37"/>
      <c r="H110" s="78" t="s">
        <v>498</v>
      </c>
      <c r="I110" s="87"/>
    </row>
    <row r="111" spans="1:9" s="21" customFormat="1" ht="17.25" x14ac:dyDescent="0.35">
      <c r="A111" s="76"/>
      <c r="B111" s="11"/>
      <c r="C111" s="33" t="s">
        <v>261</v>
      </c>
      <c r="D111" s="55">
        <v>4</v>
      </c>
      <c r="E111" s="77" t="s">
        <v>104</v>
      </c>
      <c r="F111" s="33">
        <v>1</v>
      </c>
      <c r="G111" s="37"/>
      <c r="H111" s="78" t="s">
        <v>510</v>
      </c>
      <c r="I111" s="87"/>
    </row>
    <row r="112" spans="1:9" s="21" customFormat="1" ht="17.25" x14ac:dyDescent="0.35">
      <c r="A112" s="76"/>
      <c r="B112" s="11"/>
      <c r="C112" s="33" t="s">
        <v>261</v>
      </c>
      <c r="D112" s="55">
        <v>4</v>
      </c>
      <c r="E112" s="77" t="s">
        <v>105</v>
      </c>
      <c r="F112" s="33">
        <v>60</v>
      </c>
      <c r="G112" s="37"/>
      <c r="H112" s="78" t="s">
        <v>499</v>
      </c>
      <c r="I112" s="87"/>
    </row>
    <row r="113" spans="1:9" s="21" customFormat="1" ht="17.25" x14ac:dyDescent="0.35">
      <c r="A113" s="76"/>
      <c r="B113" s="11"/>
      <c r="C113" s="33" t="s">
        <v>261</v>
      </c>
      <c r="D113" s="55">
        <v>4</v>
      </c>
      <c r="E113" s="77" t="s">
        <v>106</v>
      </c>
      <c r="F113" s="33">
        <v>120</v>
      </c>
      <c r="G113" s="37"/>
      <c r="H113" s="78" t="s">
        <v>500</v>
      </c>
      <c r="I113" s="87"/>
    </row>
    <row r="114" spans="1:9" s="21" customFormat="1" ht="17.25" x14ac:dyDescent="0.35">
      <c r="A114" s="76"/>
      <c r="B114" s="11"/>
      <c r="C114" s="33" t="s">
        <v>261</v>
      </c>
      <c r="D114" s="55">
        <v>4</v>
      </c>
      <c r="E114" s="77" t="s">
        <v>107</v>
      </c>
      <c r="F114" s="33">
        <v>3</v>
      </c>
      <c r="G114" s="37"/>
      <c r="H114" s="78" t="s">
        <v>501</v>
      </c>
      <c r="I114" s="87"/>
    </row>
    <row r="115" spans="1:9" s="21" customFormat="1" ht="17.25" x14ac:dyDescent="0.35">
      <c r="A115" s="76"/>
      <c r="B115" s="11"/>
      <c r="C115" s="33" t="s">
        <v>261</v>
      </c>
      <c r="D115" s="55">
        <v>4</v>
      </c>
      <c r="E115" s="77" t="s">
        <v>108</v>
      </c>
      <c r="F115" s="33">
        <v>253</v>
      </c>
      <c r="G115" s="37"/>
      <c r="H115" s="78" t="s">
        <v>502</v>
      </c>
      <c r="I115" s="87"/>
    </row>
    <row r="116" spans="1:9" s="21" customFormat="1" ht="17.25" x14ac:dyDescent="0.35">
      <c r="A116" s="76"/>
      <c r="B116" s="11"/>
      <c r="C116" s="33" t="s">
        <v>261</v>
      </c>
      <c r="D116" s="55">
        <v>4</v>
      </c>
      <c r="E116" s="77" t="s">
        <v>109</v>
      </c>
      <c r="F116" s="33">
        <v>900</v>
      </c>
      <c r="G116" s="37"/>
      <c r="H116" s="78" t="s">
        <v>503</v>
      </c>
      <c r="I116" s="87"/>
    </row>
    <row r="117" spans="1:9" s="21" customFormat="1" ht="17.25" x14ac:dyDescent="0.35">
      <c r="A117" s="76"/>
      <c r="B117" s="11"/>
      <c r="C117" s="33" t="s">
        <v>261</v>
      </c>
      <c r="D117" s="55">
        <v>4</v>
      </c>
      <c r="E117" s="77" t="s">
        <v>110</v>
      </c>
      <c r="F117" s="33">
        <v>180</v>
      </c>
      <c r="G117" s="37"/>
      <c r="H117" s="78" t="s">
        <v>504</v>
      </c>
      <c r="I117" s="87"/>
    </row>
    <row r="118" spans="1:9" s="21" customFormat="1" ht="17.25" x14ac:dyDescent="0.35">
      <c r="A118" s="76"/>
      <c r="B118" s="11"/>
      <c r="C118" s="33" t="s">
        <v>261</v>
      </c>
      <c r="D118" s="55">
        <v>4</v>
      </c>
      <c r="E118" s="77" t="s">
        <v>111</v>
      </c>
      <c r="F118" s="33">
        <v>300</v>
      </c>
      <c r="G118" s="37"/>
      <c r="H118" s="78" t="s">
        <v>505</v>
      </c>
      <c r="I118" s="87"/>
    </row>
    <row r="119" spans="1:9" s="21" customFormat="1" ht="17.25" x14ac:dyDescent="0.35">
      <c r="A119" s="76"/>
      <c r="B119" s="11"/>
      <c r="C119" s="33" t="s">
        <v>261</v>
      </c>
      <c r="D119" s="55">
        <v>4</v>
      </c>
      <c r="E119" s="77" t="s">
        <v>112</v>
      </c>
      <c r="F119" s="33">
        <v>300</v>
      </c>
      <c r="G119" s="37"/>
      <c r="H119" s="78" t="s">
        <v>506</v>
      </c>
      <c r="I119" s="87"/>
    </row>
    <row r="120" spans="1:9" s="21" customFormat="1" ht="17.25" x14ac:dyDescent="0.35">
      <c r="A120" s="76"/>
      <c r="B120" s="11"/>
      <c r="C120" s="33" t="s">
        <v>261</v>
      </c>
      <c r="D120" s="55">
        <v>4</v>
      </c>
      <c r="E120" s="77" t="s">
        <v>113</v>
      </c>
      <c r="F120" s="33">
        <v>900</v>
      </c>
      <c r="G120" s="37"/>
      <c r="H120" s="78" t="s">
        <v>507</v>
      </c>
      <c r="I120" s="87"/>
    </row>
    <row r="121" spans="1:9" s="21" customFormat="1" ht="17.25" x14ac:dyDescent="0.35">
      <c r="A121" s="76"/>
      <c r="B121" s="11"/>
      <c r="C121" s="33" t="s">
        <v>261</v>
      </c>
      <c r="D121" s="55">
        <v>4</v>
      </c>
      <c r="E121" s="77" t="s">
        <v>114</v>
      </c>
      <c r="F121" s="33">
        <v>3</v>
      </c>
      <c r="G121" s="37"/>
      <c r="H121" s="78" t="s">
        <v>508</v>
      </c>
      <c r="I121" s="87"/>
    </row>
    <row r="122" spans="1:9" s="21" customFormat="1" ht="17.25" x14ac:dyDescent="0.35">
      <c r="A122" s="76"/>
      <c r="B122" s="11"/>
      <c r="C122" s="33" t="s">
        <v>261</v>
      </c>
      <c r="D122" s="55">
        <v>4</v>
      </c>
      <c r="E122" s="77" t="s">
        <v>115</v>
      </c>
      <c r="F122" s="33">
        <v>12</v>
      </c>
      <c r="G122" s="37"/>
      <c r="H122" s="78" t="s">
        <v>509</v>
      </c>
      <c r="I122" s="87"/>
    </row>
    <row r="123" spans="1:9" s="21" customFormat="1" ht="17.25" x14ac:dyDescent="0.35">
      <c r="A123" s="76" t="s">
        <v>256</v>
      </c>
      <c r="B123" s="11">
        <v>4228</v>
      </c>
      <c r="C123" s="33" t="s">
        <v>261</v>
      </c>
      <c r="D123" s="55">
        <v>1</v>
      </c>
      <c r="E123" s="77" t="s">
        <v>257</v>
      </c>
      <c r="F123" s="33">
        <v>0</v>
      </c>
      <c r="G123" s="37" t="s">
        <v>274</v>
      </c>
      <c r="H123" s="78"/>
      <c r="I123" s="87"/>
    </row>
    <row r="124" spans="1:9" s="21" customFormat="1" ht="17.25" x14ac:dyDescent="0.35">
      <c r="A124" s="76" t="s">
        <v>253</v>
      </c>
      <c r="B124" s="11">
        <v>4229</v>
      </c>
      <c r="C124" s="33" t="s">
        <v>261</v>
      </c>
      <c r="D124" s="55">
        <v>1</v>
      </c>
      <c r="E124" s="77" t="s">
        <v>254</v>
      </c>
      <c r="F124" s="33">
        <v>1</v>
      </c>
      <c r="G124" s="37" t="s">
        <v>274</v>
      </c>
      <c r="H124" s="78"/>
      <c r="I124" s="87"/>
    </row>
    <row r="125" spans="1:9" s="21" customFormat="1" ht="17.25" x14ac:dyDescent="0.35">
      <c r="A125" s="76" t="s">
        <v>142</v>
      </c>
      <c r="B125" s="11">
        <v>4396</v>
      </c>
      <c r="C125" s="33" t="s">
        <v>261</v>
      </c>
      <c r="D125" s="55">
        <v>1</v>
      </c>
      <c r="E125" s="77" t="s">
        <v>143</v>
      </c>
      <c r="F125" s="33">
        <v>0</v>
      </c>
      <c r="G125" s="37" t="s">
        <v>274</v>
      </c>
      <c r="H125" s="78"/>
      <c r="I125" s="87"/>
    </row>
    <row r="126" spans="1:9" s="21" customFormat="1" ht="17.25" x14ac:dyDescent="0.35">
      <c r="A126" s="76" t="s">
        <v>116</v>
      </c>
      <c r="B126" s="11">
        <v>5280</v>
      </c>
      <c r="C126" s="33" t="s">
        <v>261</v>
      </c>
      <c r="D126" s="55">
        <v>8</v>
      </c>
      <c r="E126" s="77" t="s">
        <v>117</v>
      </c>
      <c r="F126" s="33">
        <v>0</v>
      </c>
      <c r="G126" s="37" t="s">
        <v>274</v>
      </c>
      <c r="H126" s="78"/>
      <c r="I126" s="87"/>
    </row>
    <row r="127" spans="1:9" s="21" customFormat="1" ht="17.25" x14ac:dyDescent="0.35">
      <c r="A127" s="76" t="s">
        <v>210</v>
      </c>
      <c r="B127" s="11">
        <v>176</v>
      </c>
      <c r="C127" s="33"/>
      <c r="D127" s="55"/>
      <c r="E127" s="77"/>
      <c r="F127" s="33"/>
      <c r="G127" s="37" t="s">
        <v>453</v>
      </c>
      <c r="H127" s="78"/>
      <c r="I127" s="87"/>
    </row>
    <row r="128" spans="1:9" s="21" customFormat="1" ht="17.25" x14ac:dyDescent="0.35">
      <c r="A128" s="76"/>
      <c r="B128" s="11"/>
      <c r="C128" s="33" t="s">
        <v>261</v>
      </c>
      <c r="D128" s="55">
        <v>1</v>
      </c>
      <c r="E128" s="77" t="s">
        <v>19</v>
      </c>
      <c r="F128" s="33">
        <v>0</v>
      </c>
      <c r="G128" s="37"/>
      <c r="H128" s="78"/>
      <c r="I128" s="87"/>
    </row>
    <row r="129" spans="1:8" s="21" customFormat="1" ht="17.25" x14ac:dyDescent="0.35">
      <c r="A129" s="76"/>
      <c r="B129" s="11"/>
      <c r="C129" s="33" t="s">
        <v>261</v>
      </c>
      <c r="D129" s="55">
        <v>2</v>
      </c>
      <c r="E129" s="77" t="s">
        <v>211</v>
      </c>
      <c r="F129" s="33" t="s">
        <v>212</v>
      </c>
      <c r="G129" s="37"/>
      <c r="H129" s="78"/>
    </row>
    <row r="130" spans="1:8" s="21" customFormat="1" ht="17.25" x14ac:dyDescent="0.35">
      <c r="A130" s="76" t="s">
        <v>213</v>
      </c>
      <c r="B130" s="11">
        <v>177</v>
      </c>
      <c r="C130" s="33"/>
      <c r="D130" s="55"/>
      <c r="E130" s="77"/>
      <c r="F130" s="33"/>
      <c r="G130" s="37" t="s">
        <v>453</v>
      </c>
      <c r="H130" s="78"/>
    </row>
    <row r="131" spans="1:8" s="21" customFormat="1" ht="17.25" x14ac:dyDescent="0.35">
      <c r="A131" s="76"/>
      <c r="B131" s="11"/>
      <c r="C131" s="33" t="s">
        <v>261</v>
      </c>
      <c r="D131" s="55">
        <v>1</v>
      </c>
      <c r="E131" s="77" t="s">
        <v>19</v>
      </c>
      <c r="F131" s="33">
        <v>0</v>
      </c>
      <c r="G131" s="37"/>
      <c r="H131" s="78"/>
    </row>
    <row r="132" spans="1:8" s="21" customFormat="1" ht="17.25" x14ac:dyDescent="0.35">
      <c r="A132" s="76"/>
      <c r="B132" s="11"/>
      <c r="C132" s="33" t="s">
        <v>261</v>
      </c>
      <c r="D132" s="55">
        <v>1</v>
      </c>
      <c r="E132" s="77" t="s">
        <v>214</v>
      </c>
      <c r="F132" s="33" t="s">
        <v>215</v>
      </c>
      <c r="G132" s="37"/>
      <c r="H132" s="78"/>
    </row>
    <row r="133" spans="1:8" s="21" customFormat="1" ht="17.25" x14ac:dyDescent="0.35">
      <c r="A133" s="76" t="s">
        <v>232</v>
      </c>
      <c r="B133" s="11">
        <v>255</v>
      </c>
      <c r="C133" s="33"/>
      <c r="D133" s="55"/>
      <c r="E133" s="77" t="s">
        <v>189</v>
      </c>
      <c r="F133" s="33"/>
      <c r="G133" s="37" t="s">
        <v>453</v>
      </c>
      <c r="H133" s="78"/>
    </row>
    <row r="134" spans="1:8" s="21" customFormat="1" ht="17.25" x14ac:dyDescent="0.35">
      <c r="A134" s="76"/>
      <c r="B134" s="11"/>
      <c r="C134" s="33" t="s">
        <v>261</v>
      </c>
      <c r="D134" s="55">
        <v>1</v>
      </c>
      <c r="E134" s="77" t="s">
        <v>19</v>
      </c>
      <c r="F134" s="33">
        <v>0</v>
      </c>
      <c r="G134" s="37"/>
      <c r="H134" s="78"/>
    </row>
    <row r="135" spans="1:8" s="21" customFormat="1" ht="17.25" x14ac:dyDescent="0.35">
      <c r="A135" s="76"/>
      <c r="B135" s="11"/>
      <c r="C135" s="33" t="s">
        <v>261</v>
      </c>
      <c r="D135" s="55">
        <v>2</v>
      </c>
      <c r="E135" s="77" t="s">
        <v>190</v>
      </c>
      <c r="F135" s="33">
        <v>0</v>
      </c>
      <c r="G135" s="37"/>
      <c r="H135" s="78"/>
    </row>
    <row r="136" spans="1:8" s="21" customFormat="1" ht="17.25" x14ac:dyDescent="0.35">
      <c r="A136" s="76"/>
      <c r="B136" s="11"/>
      <c r="C136" s="33" t="s">
        <v>261</v>
      </c>
      <c r="D136" s="55">
        <v>2</v>
      </c>
      <c r="E136" s="77" t="s">
        <v>191</v>
      </c>
      <c r="F136" s="33">
        <v>0</v>
      </c>
      <c r="G136" s="37"/>
      <c r="H136" s="78"/>
    </row>
    <row r="137" spans="1:8" s="21" customFormat="1" ht="17.25" x14ac:dyDescent="0.35">
      <c r="A137" s="76"/>
      <c r="B137" s="11"/>
      <c r="C137" s="33" t="s">
        <v>261</v>
      </c>
      <c r="D137" s="55">
        <v>2</v>
      </c>
      <c r="E137" s="77" t="s">
        <v>192</v>
      </c>
      <c r="F137" s="33">
        <v>0</v>
      </c>
      <c r="G137" s="37"/>
      <c r="H137" s="78"/>
    </row>
    <row r="138" spans="1:8" s="21" customFormat="1" ht="17.25" x14ac:dyDescent="0.35">
      <c r="A138" s="76"/>
      <c r="B138" s="11"/>
      <c r="C138" s="33" t="s">
        <v>261</v>
      </c>
      <c r="D138" s="55">
        <v>2</v>
      </c>
      <c r="E138" s="77" t="s">
        <v>193</v>
      </c>
      <c r="F138" s="33">
        <v>0</v>
      </c>
      <c r="G138" s="37"/>
      <c r="H138" s="78"/>
    </row>
    <row r="139" spans="1:8" s="21" customFormat="1" ht="17.25" x14ac:dyDescent="0.35">
      <c r="A139" s="76"/>
      <c r="B139" s="11"/>
      <c r="C139" s="33" t="s">
        <v>261</v>
      </c>
      <c r="D139" s="55">
        <v>2</v>
      </c>
      <c r="E139" s="77" t="s">
        <v>194</v>
      </c>
      <c r="F139" s="33">
        <v>0</v>
      </c>
      <c r="G139" s="37"/>
      <c r="H139" s="78"/>
    </row>
    <row r="140" spans="1:8" s="21" customFormat="1" ht="17.25" x14ac:dyDescent="0.35">
      <c r="A140" s="76"/>
      <c r="B140" s="11"/>
      <c r="C140" s="33" t="s">
        <v>261</v>
      </c>
      <c r="D140" s="55">
        <v>2</v>
      </c>
      <c r="E140" s="77" t="s">
        <v>195</v>
      </c>
      <c r="F140" s="33">
        <v>0</v>
      </c>
      <c r="G140" s="37"/>
      <c r="H140" s="78"/>
    </row>
    <row r="141" spans="1:8" s="21" customFormat="1" ht="17.25" x14ac:dyDescent="0.35">
      <c r="A141" s="76"/>
      <c r="B141" s="11"/>
      <c r="C141" s="33" t="s">
        <v>261</v>
      </c>
      <c r="D141" s="55">
        <v>2</v>
      </c>
      <c r="E141" s="77" t="s">
        <v>196</v>
      </c>
      <c r="F141" s="33">
        <v>0</v>
      </c>
      <c r="G141" s="37"/>
      <c r="H141" s="78"/>
    </row>
    <row r="142" spans="1:8" s="21" customFormat="1" ht="17.25" x14ac:dyDescent="0.35">
      <c r="A142" s="76"/>
      <c r="B142" s="11"/>
      <c r="C142" s="33" t="s">
        <v>261</v>
      </c>
      <c r="D142" s="55">
        <v>2</v>
      </c>
      <c r="E142" s="77" t="s">
        <v>197</v>
      </c>
      <c r="F142" s="33">
        <v>0</v>
      </c>
      <c r="G142" s="37"/>
      <c r="H142" s="78"/>
    </row>
    <row r="143" spans="1:8" s="21" customFormat="1" ht="17.25" x14ac:dyDescent="0.35">
      <c r="A143" s="76"/>
      <c r="B143" s="11"/>
      <c r="C143" s="33" t="s">
        <v>261</v>
      </c>
      <c r="D143" s="55">
        <v>2</v>
      </c>
      <c r="E143" s="77" t="s">
        <v>198</v>
      </c>
      <c r="F143" s="33">
        <v>0</v>
      </c>
      <c r="G143" s="37"/>
      <c r="H143" s="78"/>
    </row>
    <row r="144" spans="1:8" s="21" customFormat="1" ht="17.25" x14ac:dyDescent="0.35">
      <c r="A144" s="76"/>
      <c r="B144" s="11"/>
      <c r="C144" s="33" t="s">
        <v>261</v>
      </c>
      <c r="D144" s="55">
        <v>2</v>
      </c>
      <c r="E144" s="77" t="s">
        <v>199</v>
      </c>
      <c r="F144" s="33">
        <v>0</v>
      </c>
      <c r="G144" s="37"/>
      <c r="H144" s="78"/>
    </row>
    <row r="145" spans="1:8" s="21" customFormat="1" ht="17.25" x14ac:dyDescent="0.35">
      <c r="A145" s="76"/>
      <c r="B145" s="11"/>
      <c r="C145" s="33" t="s">
        <v>261</v>
      </c>
      <c r="D145" s="55">
        <v>2</v>
      </c>
      <c r="E145" s="77" t="s">
        <v>200</v>
      </c>
      <c r="F145" s="33">
        <v>0</v>
      </c>
      <c r="G145" s="37"/>
      <c r="H145" s="78"/>
    </row>
    <row r="146" spans="1:8" s="21" customFormat="1" ht="17.25" x14ac:dyDescent="0.35">
      <c r="A146" s="76"/>
      <c r="B146" s="11"/>
      <c r="C146" s="33" t="s">
        <v>261</v>
      </c>
      <c r="D146" s="55">
        <v>2</v>
      </c>
      <c r="E146" s="77" t="s">
        <v>201</v>
      </c>
      <c r="F146" s="33">
        <v>0</v>
      </c>
      <c r="G146" s="37"/>
      <c r="H146" s="78"/>
    </row>
    <row r="147" spans="1:8" s="21" customFormat="1" ht="17.25" x14ac:dyDescent="0.35">
      <c r="A147" s="76"/>
      <c r="B147" s="11"/>
      <c r="C147" s="33" t="s">
        <v>261</v>
      </c>
      <c r="D147" s="55">
        <v>2</v>
      </c>
      <c r="E147" s="77" t="s">
        <v>202</v>
      </c>
      <c r="F147" s="33">
        <v>0</v>
      </c>
      <c r="G147" s="37"/>
      <c r="H147" s="78"/>
    </row>
    <row r="148" spans="1:8" s="21" customFormat="1" ht="17.25" x14ac:dyDescent="0.35">
      <c r="A148" s="76"/>
      <c r="B148" s="11"/>
      <c r="C148" s="33" t="s">
        <v>261</v>
      </c>
      <c r="D148" s="55">
        <v>2</v>
      </c>
      <c r="E148" s="77" t="s">
        <v>203</v>
      </c>
      <c r="F148" s="33">
        <v>0</v>
      </c>
      <c r="G148" s="37"/>
      <c r="H148" s="78"/>
    </row>
    <row r="149" spans="1:8" s="21" customFormat="1" ht="17.25" x14ac:dyDescent="0.35">
      <c r="A149" s="76"/>
      <c r="B149" s="11"/>
      <c r="C149" s="33" t="s">
        <v>261</v>
      </c>
      <c r="D149" s="55">
        <v>2</v>
      </c>
      <c r="E149" s="77" t="s">
        <v>204</v>
      </c>
      <c r="F149" s="33">
        <v>0</v>
      </c>
      <c r="G149" s="37"/>
      <c r="H149" s="78"/>
    </row>
    <row r="150" spans="1:8" s="21" customFormat="1" ht="17.25" x14ac:dyDescent="0.35">
      <c r="A150" s="76"/>
      <c r="B150" s="11"/>
      <c r="C150" s="33" t="s">
        <v>261</v>
      </c>
      <c r="D150" s="55">
        <v>2</v>
      </c>
      <c r="E150" s="77" t="s">
        <v>205</v>
      </c>
      <c r="F150" s="33">
        <v>0</v>
      </c>
      <c r="G150" s="37"/>
      <c r="H150" s="78"/>
    </row>
    <row r="151" spans="1:8" s="21" customFormat="1" ht="17.25" x14ac:dyDescent="0.35">
      <c r="A151" s="76"/>
      <c r="B151" s="11"/>
      <c r="C151" s="33" t="s">
        <v>261</v>
      </c>
      <c r="D151" s="55">
        <v>2</v>
      </c>
      <c r="E151" s="77" t="s">
        <v>206</v>
      </c>
      <c r="F151" s="33">
        <v>0</v>
      </c>
      <c r="G151" s="37"/>
      <c r="H151" s="78"/>
    </row>
    <row r="152" spans="1:8" s="21" customFormat="1" ht="17.25" x14ac:dyDescent="0.35">
      <c r="A152" s="76"/>
      <c r="B152" s="11"/>
      <c r="C152" s="33" t="s">
        <v>261</v>
      </c>
      <c r="D152" s="55">
        <v>2</v>
      </c>
      <c r="E152" s="77" t="s">
        <v>207</v>
      </c>
      <c r="F152" s="33">
        <v>0</v>
      </c>
      <c r="G152" s="37"/>
      <c r="H152" s="78"/>
    </row>
    <row r="153" spans="1:8" s="21" customFormat="1" ht="17.25" x14ac:dyDescent="0.35">
      <c r="A153" s="76"/>
      <c r="B153" s="11"/>
      <c r="C153" s="33" t="s">
        <v>261</v>
      </c>
      <c r="D153" s="55">
        <v>2</v>
      </c>
      <c r="E153" s="77" t="s">
        <v>208</v>
      </c>
      <c r="F153" s="33">
        <v>0</v>
      </c>
      <c r="G153" s="37"/>
      <c r="H153" s="78"/>
    </row>
    <row r="154" spans="1:8" s="21" customFormat="1" ht="17.25" x14ac:dyDescent="0.35">
      <c r="A154" s="76"/>
      <c r="B154" s="11"/>
      <c r="C154" s="33" t="s">
        <v>261</v>
      </c>
      <c r="D154" s="55">
        <v>2</v>
      </c>
      <c r="E154" s="77" t="s">
        <v>209</v>
      </c>
      <c r="F154" s="33">
        <v>0</v>
      </c>
      <c r="G154" s="37"/>
      <c r="H154" s="78"/>
    </row>
    <row r="155" spans="1:8" s="21" customFormat="1" ht="17.25" x14ac:dyDescent="0.35">
      <c r="A155" s="76" t="s">
        <v>147</v>
      </c>
      <c r="B155" s="11">
        <v>259</v>
      </c>
      <c r="C155" s="33"/>
      <c r="D155" s="55"/>
      <c r="E155" s="77" t="s">
        <v>148</v>
      </c>
      <c r="F155" s="33"/>
      <c r="G155" s="37" t="s">
        <v>453</v>
      </c>
      <c r="H155" s="78"/>
    </row>
    <row r="156" spans="1:8" s="21" customFormat="1" ht="17.25" x14ac:dyDescent="0.35">
      <c r="A156" s="76"/>
      <c r="B156" s="11"/>
      <c r="C156" s="33" t="s">
        <v>261</v>
      </c>
      <c r="D156" s="55">
        <v>1</v>
      </c>
      <c r="E156" s="77" t="s">
        <v>19</v>
      </c>
      <c r="F156" s="33">
        <v>0</v>
      </c>
      <c r="G156" s="37"/>
      <c r="H156" s="78"/>
    </row>
    <row r="157" spans="1:8" s="21" customFormat="1" ht="17.25" x14ac:dyDescent="0.35">
      <c r="A157" s="76"/>
      <c r="B157" s="11"/>
      <c r="C157" s="33" t="s">
        <v>261</v>
      </c>
      <c r="D157" s="55">
        <v>2</v>
      </c>
      <c r="E157" s="77" t="s">
        <v>149</v>
      </c>
      <c r="F157" s="33">
        <v>4162</v>
      </c>
      <c r="G157" s="37"/>
      <c r="H157" s="78"/>
    </row>
    <row r="158" spans="1:8" s="21" customFormat="1" ht="17.25" x14ac:dyDescent="0.35">
      <c r="A158" s="76"/>
      <c r="B158" s="11"/>
      <c r="C158" s="33" t="s">
        <v>261</v>
      </c>
      <c r="D158" s="55">
        <v>2</v>
      </c>
      <c r="E158" s="77" t="s">
        <v>150</v>
      </c>
      <c r="F158" s="33">
        <v>65535</v>
      </c>
      <c r="G158" s="37"/>
      <c r="H158" s="78"/>
    </row>
    <row r="159" spans="1:8" s="21" customFormat="1" ht="17.25" x14ac:dyDescent="0.35">
      <c r="A159" s="76"/>
      <c r="B159" s="11"/>
      <c r="C159" s="33" t="s">
        <v>261</v>
      </c>
      <c r="D159" s="55">
        <v>2</v>
      </c>
      <c r="E159" s="77" t="s">
        <v>151</v>
      </c>
      <c r="F159" s="33">
        <v>0</v>
      </c>
      <c r="G159" s="37"/>
      <c r="H159" s="78"/>
    </row>
    <row r="160" spans="1:8" s="21" customFormat="1" ht="17.25" x14ac:dyDescent="0.35">
      <c r="A160" s="76"/>
      <c r="B160" s="11"/>
      <c r="C160" s="33" t="s">
        <v>261</v>
      </c>
      <c r="D160" s="55">
        <v>2</v>
      </c>
      <c r="E160" s="77" t="s">
        <v>152</v>
      </c>
      <c r="F160" s="33">
        <v>0</v>
      </c>
      <c r="G160" s="37"/>
      <c r="H160" s="78"/>
    </row>
    <row r="161" spans="1:8" s="21" customFormat="1" ht="17.25" x14ac:dyDescent="0.35">
      <c r="A161" s="76"/>
      <c r="B161" s="11"/>
      <c r="C161" s="33" t="s">
        <v>261</v>
      </c>
      <c r="D161" s="55">
        <v>2</v>
      </c>
      <c r="E161" s="77" t="s">
        <v>153</v>
      </c>
      <c r="F161" s="33">
        <v>0</v>
      </c>
      <c r="G161" s="37"/>
      <c r="H161" s="78"/>
    </row>
    <row r="162" spans="1:8" s="21" customFormat="1" ht="17.25" x14ac:dyDescent="0.35">
      <c r="A162" s="76"/>
      <c r="B162" s="11"/>
      <c r="C162" s="33" t="s">
        <v>261</v>
      </c>
      <c r="D162" s="55">
        <v>2</v>
      </c>
      <c r="E162" s="77" t="s">
        <v>154</v>
      </c>
      <c r="F162" s="33">
        <v>0</v>
      </c>
      <c r="G162" s="37"/>
      <c r="H162" s="78"/>
    </row>
    <row r="163" spans="1:8" s="21" customFormat="1" ht="17.25" x14ac:dyDescent="0.35">
      <c r="A163" s="76"/>
      <c r="B163" s="11"/>
      <c r="C163" s="33" t="s">
        <v>261</v>
      </c>
      <c r="D163" s="55">
        <v>2</v>
      </c>
      <c r="E163" s="77" t="s">
        <v>155</v>
      </c>
      <c r="F163" s="33">
        <v>0</v>
      </c>
      <c r="G163" s="37"/>
      <c r="H163" s="78"/>
    </row>
    <row r="164" spans="1:8" s="21" customFormat="1" ht="17.25" x14ac:dyDescent="0.35">
      <c r="A164" s="76"/>
      <c r="B164" s="11"/>
      <c r="C164" s="33" t="s">
        <v>261</v>
      </c>
      <c r="D164" s="55">
        <v>2</v>
      </c>
      <c r="E164" s="77" t="s">
        <v>156</v>
      </c>
      <c r="F164" s="33">
        <v>0</v>
      </c>
      <c r="G164" s="37"/>
      <c r="H164" s="78"/>
    </row>
    <row r="165" spans="1:8" s="21" customFormat="1" ht="17.25" x14ac:dyDescent="0.35">
      <c r="A165" s="76"/>
      <c r="B165" s="11"/>
      <c r="C165" s="33" t="s">
        <v>261</v>
      </c>
      <c r="D165" s="55">
        <v>2</v>
      </c>
      <c r="E165" s="77" t="s">
        <v>157</v>
      </c>
      <c r="F165" s="33">
        <v>0</v>
      </c>
      <c r="G165" s="37"/>
      <c r="H165" s="78"/>
    </row>
    <row r="166" spans="1:8" s="21" customFormat="1" ht="17.25" x14ac:dyDescent="0.35">
      <c r="A166" s="76"/>
      <c r="B166" s="11"/>
      <c r="C166" s="33" t="s">
        <v>261</v>
      </c>
      <c r="D166" s="55">
        <v>2</v>
      </c>
      <c r="E166" s="77" t="s">
        <v>158</v>
      </c>
      <c r="F166" s="33">
        <v>0</v>
      </c>
      <c r="G166" s="37"/>
      <c r="H166" s="78"/>
    </row>
    <row r="167" spans="1:8" s="21" customFormat="1" ht="17.25" x14ac:dyDescent="0.35">
      <c r="A167" s="76"/>
      <c r="B167" s="11"/>
      <c r="C167" s="33" t="s">
        <v>261</v>
      </c>
      <c r="D167" s="55">
        <v>2</v>
      </c>
      <c r="E167" s="77" t="s">
        <v>159</v>
      </c>
      <c r="F167" s="33">
        <v>0</v>
      </c>
      <c r="G167" s="37"/>
      <c r="H167" s="78"/>
    </row>
    <row r="168" spans="1:8" s="21" customFormat="1" ht="17.25" x14ac:dyDescent="0.35">
      <c r="A168" s="76"/>
      <c r="B168" s="11"/>
      <c r="C168" s="33" t="s">
        <v>261</v>
      </c>
      <c r="D168" s="55">
        <v>2</v>
      </c>
      <c r="E168" s="77" t="s">
        <v>160</v>
      </c>
      <c r="F168" s="33">
        <v>0</v>
      </c>
      <c r="G168" s="37"/>
      <c r="H168" s="78"/>
    </row>
    <row r="169" spans="1:8" s="21" customFormat="1" ht="17.25" x14ac:dyDescent="0.35">
      <c r="A169" s="76"/>
      <c r="B169" s="11"/>
      <c r="C169" s="33" t="s">
        <v>261</v>
      </c>
      <c r="D169" s="55">
        <v>2</v>
      </c>
      <c r="E169" s="77" t="s">
        <v>161</v>
      </c>
      <c r="F169" s="33">
        <v>0</v>
      </c>
      <c r="G169" s="37"/>
      <c r="H169" s="78"/>
    </row>
    <row r="170" spans="1:8" s="21" customFormat="1" ht="17.25" x14ac:dyDescent="0.35">
      <c r="A170" s="76"/>
      <c r="B170" s="11"/>
      <c r="C170" s="33" t="s">
        <v>261</v>
      </c>
      <c r="D170" s="55">
        <v>2</v>
      </c>
      <c r="E170" s="77" t="s">
        <v>162</v>
      </c>
      <c r="F170" s="33">
        <v>0</v>
      </c>
      <c r="G170" s="37"/>
      <c r="H170" s="78"/>
    </row>
    <row r="171" spans="1:8" s="21" customFormat="1" ht="17.25" x14ac:dyDescent="0.35">
      <c r="A171" s="76"/>
      <c r="B171" s="11"/>
      <c r="C171" s="33" t="s">
        <v>261</v>
      </c>
      <c r="D171" s="55">
        <v>2</v>
      </c>
      <c r="E171" s="77" t="s">
        <v>163</v>
      </c>
      <c r="F171" s="33">
        <v>0</v>
      </c>
      <c r="G171" s="37"/>
      <c r="H171" s="78"/>
    </row>
    <row r="172" spans="1:8" s="21" customFormat="1" ht="17.25" x14ac:dyDescent="0.35">
      <c r="A172" s="76"/>
      <c r="B172" s="11"/>
      <c r="C172" s="33" t="s">
        <v>261</v>
      </c>
      <c r="D172" s="55">
        <v>2</v>
      </c>
      <c r="E172" s="77" t="s">
        <v>164</v>
      </c>
      <c r="F172" s="33">
        <v>0</v>
      </c>
      <c r="G172" s="37"/>
      <c r="H172" s="78"/>
    </row>
    <row r="173" spans="1:8" s="21" customFormat="1" ht="17.25" x14ac:dyDescent="0.35">
      <c r="A173" s="76"/>
      <c r="B173" s="11"/>
      <c r="C173" s="33" t="s">
        <v>261</v>
      </c>
      <c r="D173" s="55">
        <v>2</v>
      </c>
      <c r="E173" s="77" t="s">
        <v>165</v>
      </c>
      <c r="F173" s="33">
        <v>0</v>
      </c>
      <c r="G173" s="37"/>
      <c r="H173" s="78"/>
    </row>
    <row r="174" spans="1:8" s="21" customFormat="1" ht="17.25" x14ac:dyDescent="0.35">
      <c r="A174" s="76"/>
      <c r="B174" s="11"/>
      <c r="C174" s="33" t="s">
        <v>261</v>
      </c>
      <c r="D174" s="55">
        <v>2</v>
      </c>
      <c r="E174" s="77" t="s">
        <v>166</v>
      </c>
      <c r="F174" s="33">
        <v>0</v>
      </c>
      <c r="G174" s="37"/>
      <c r="H174" s="78"/>
    </row>
    <row r="175" spans="1:8" s="21" customFormat="1" ht="17.25" x14ac:dyDescent="0.35">
      <c r="A175" s="76"/>
      <c r="B175" s="11"/>
      <c r="C175" s="33" t="s">
        <v>261</v>
      </c>
      <c r="D175" s="55">
        <v>2</v>
      </c>
      <c r="E175" s="77" t="s">
        <v>167</v>
      </c>
      <c r="F175" s="33">
        <v>0</v>
      </c>
      <c r="G175" s="37"/>
      <c r="H175" s="78"/>
    </row>
    <row r="176" spans="1:8" s="21" customFormat="1" ht="17.25" x14ac:dyDescent="0.35">
      <c r="A176" s="76"/>
      <c r="B176" s="11"/>
      <c r="C176" s="33" t="s">
        <v>261</v>
      </c>
      <c r="D176" s="55">
        <v>2</v>
      </c>
      <c r="E176" s="77" t="s">
        <v>168</v>
      </c>
      <c r="F176" s="33">
        <v>0</v>
      </c>
      <c r="G176" s="37"/>
      <c r="H176" s="78"/>
    </row>
    <row r="177" spans="1:8" s="21" customFormat="1" ht="17.25" x14ac:dyDescent="0.35">
      <c r="A177" s="76"/>
      <c r="B177" s="11"/>
      <c r="C177" s="33" t="s">
        <v>261</v>
      </c>
      <c r="D177" s="55">
        <v>2</v>
      </c>
      <c r="E177" s="77" t="s">
        <v>169</v>
      </c>
      <c r="F177" s="33">
        <v>0</v>
      </c>
      <c r="G177" s="37"/>
      <c r="H177" s="78"/>
    </row>
    <row r="178" spans="1:8" s="21" customFormat="1" ht="17.25" x14ac:dyDescent="0.35">
      <c r="A178" s="76"/>
      <c r="B178" s="11"/>
      <c r="C178" s="33" t="s">
        <v>261</v>
      </c>
      <c r="D178" s="55">
        <v>2</v>
      </c>
      <c r="E178" s="77" t="s">
        <v>170</v>
      </c>
      <c r="F178" s="33">
        <v>0</v>
      </c>
      <c r="G178" s="37"/>
      <c r="H178" s="78"/>
    </row>
    <row r="179" spans="1:8" s="21" customFormat="1" ht="17.25" x14ac:dyDescent="0.35">
      <c r="A179" s="76"/>
      <c r="B179" s="11"/>
      <c r="C179" s="33" t="s">
        <v>261</v>
      </c>
      <c r="D179" s="55">
        <v>2</v>
      </c>
      <c r="E179" s="77" t="s">
        <v>171</v>
      </c>
      <c r="F179" s="33">
        <v>0</v>
      </c>
      <c r="G179" s="37"/>
      <c r="H179" s="78"/>
    </row>
    <row r="180" spans="1:8" s="21" customFormat="1" ht="17.25" x14ac:dyDescent="0.35">
      <c r="A180" s="76"/>
      <c r="B180" s="11"/>
      <c r="C180" s="33" t="s">
        <v>261</v>
      </c>
      <c r="D180" s="55">
        <v>2</v>
      </c>
      <c r="E180" s="77" t="s">
        <v>172</v>
      </c>
      <c r="F180" s="33">
        <v>0</v>
      </c>
      <c r="G180" s="37"/>
      <c r="H180" s="78"/>
    </row>
    <row r="181" spans="1:8" s="21" customFormat="1" ht="17.25" x14ac:dyDescent="0.35">
      <c r="A181" s="76"/>
      <c r="B181" s="11"/>
      <c r="C181" s="33" t="s">
        <v>261</v>
      </c>
      <c r="D181" s="55">
        <v>2</v>
      </c>
      <c r="E181" s="77" t="s">
        <v>173</v>
      </c>
      <c r="F181" s="33">
        <v>0</v>
      </c>
      <c r="G181" s="37"/>
      <c r="H181" s="78"/>
    </row>
    <row r="182" spans="1:8" s="21" customFormat="1" ht="17.25" x14ac:dyDescent="0.35">
      <c r="A182" s="76"/>
      <c r="B182" s="11"/>
      <c r="C182" s="33" t="s">
        <v>261</v>
      </c>
      <c r="D182" s="55">
        <v>2</v>
      </c>
      <c r="E182" s="77" t="s">
        <v>174</v>
      </c>
      <c r="F182" s="33">
        <v>0</v>
      </c>
      <c r="G182" s="37"/>
      <c r="H182" s="78"/>
    </row>
    <row r="183" spans="1:8" s="21" customFormat="1" ht="17.25" x14ac:dyDescent="0.35">
      <c r="A183" s="76"/>
      <c r="B183" s="11"/>
      <c r="C183" s="33" t="s">
        <v>261</v>
      </c>
      <c r="D183" s="55">
        <v>2</v>
      </c>
      <c r="E183" s="77" t="s">
        <v>175</v>
      </c>
      <c r="F183" s="33">
        <v>0</v>
      </c>
      <c r="G183" s="37"/>
      <c r="H183" s="78"/>
    </row>
    <row r="184" spans="1:8" s="21" customFormat="1" ht="17.25" x14ac:dyDescent="0.35">
      <c r="A184" s="76"/>
      <c r="B184" s="11"/>
      <c r="C184" s="33" t="s">
        <v>261</v>
      </c>
      <c r="D184" s="55">
        <v>2</v>
      </c>
      <c r="E184" s="77" t="s">
        <v>176</v>
      </c>
      <c r="F184" s="33">
        <v>0</v>
      </c>
      <c r="G184" s="37"/>
      <c r="H184" s="78"/>
    </row>
    <row r="185" spans="1:8" s="21" customFormat="1" ht="17.25" x14ac:dyDescent="0.35">
      <c r="A185" s="76"/>
      <c r="B185" s="11"/>
      <c r="C185" s="33" t="s">
        <v>261</v>
      </c>
      <c r="D185" s="55">
        <v>2</v>
      </c>
      <c r="E185" s="77" t="s">
        <v>177</v>
      </c>
      <c r="F185" s="33">
        <v>0</v>
      </c>
      <c r="G185" s="37"/>
      <c r="H185" s="78"/>
    </row>
    <row r="186" spans="1:8" s="21" customFormat="1" ht="17.25" x14ac:dyDescent="0.35">
      <c r="A186" s="76"/>
      <c r="B186" s="11"/>
      <c r="C186" s="33" t="s">
        <v>261</v>
      </c>
      <c r="D186" s="55">
        <v>2</v>
      </c>
      <c r="E186" s="77" t="s">
        <v>178</v>
      </c>
      <c r="F186" s="33">
        <v>0</v>
      </c>
      <c r="G186" s="37"/>
      <c r="H186" s="78"/>
    </row>
    <row r="187" spans="1:8" s="21" customFormat="1" ht="17.25" x14ac:dyDescent="0.35">
      <c r="A187" s="76"/>
      <c r="B187" s="11"/>
      <c r="C187" s="33" t="s">
        <v>261</v>
      </c>
      <c r="D187" s="55">
        <v>2</v>
      </c>
      <c r="E187" s="77" t="s">
        <v>179</v>
      </c>
      <c r="F187" s="33">
        <v>0</v>
      </c>
      <c r="G187" s="37"/>
      <c r="H187" s="78"/>
    </row>
    <row r="188" spans="1:8" s="21" customFormat="1" ht="17.25" x14ac:dyDescent="0.35">
      <c r="A188" s="76"/>
      <c r="B188" s="11"/>
      <c r="C188" s="33" t="s">
        <v>261</v>
      </c>
      <c r="D188" s="55">
        <v>2</v>
      </c>
      <c r="E188" s="77" t="s">
        <v>180</v>
      </c>
      <c r="F188" s="33">
        <v>0</v>
      </c>
      <c r="G188" s="37"/>
      <c r="H188" s="78"/>
    </row>
    <row r="189" spans="1:8" s="21" customFormat="1" ht="17.25" x14ac:dyDescent="0.35">
      <c r="A189" s="76"/>
      <c r="B189" s="11"/>
      <c r="C189" s="33" t="s">
        <v>261</v>
      </c>
      <c r="D189" s="55">
        <v>2</v>
      </c>
      <c r="E189" s="77" t="s">
        <v>181</v>
      </c>
      <c r="F189" s="33">
        <v>0</v>
      </c>
      <c r="G189" s="37"/>
      <c r="H189" s="78"/>
    </row>
    <row r="190" spans="1:8" s="21" customFormat="1" ht="17.25" x14ac:dyDescent="0.35">
      <c r="A190" s="76"/>
      <c r="B190" s="11"/>
      <c r="C190" s="33" t="s">
        <v>261</v>
      </c>
      <c r="D190" s="55">
        <v>2</v>
      </c>
      <c r="E190" s="77" t="s">
        <v>182</v>
      </c>
      <c r="F190" s="33">
        <v>0</v>
      </c>
      <c r="G190" s="37"/>
      <c r="H190" s="78"/>
    </row>
    <row r="191" spans="1:8" s="21" customFormat="1" ht="17.25" x14ac:dyDescent="0.35">
      <c r="A191" s="76"/>
      <c r="B191" s="11"/>
      <c r="C191" s="33" t="s">
        <v>261</v>
      </c>
      <c r="D191" s="55">
        <v>2</v>
      </c>
      <c r="E191" s="77" t="s">
        <v>183</v>
      </c>
      <c r="F191" s="33">
        <v>0</v>
      </c>
      <c r="G191" s="37"/>
      <c r="H191" s="78"/>
    </row>
    <row r="192" spans="1:8" s="21" customFormat="1" ht="17.25" x14ac:dyDescent="0.35">
      <c r="A192" s="76"/>
      <c r="B192" s="11"/>
      <c r="C192" s="33" t="s">
        <v>261</v>
      </c>
      <c r="D192" s="55">
        <v>2</v>
      </c>
      <c r="E192" s="77" t="s">
        <v>184</v>
      </c>
      <c r="F192" s="33">
        <v>0</v>
      </c>
      <c r="G192" s="37"/>
      <c r="H192" s="78"/>
    </row>
    <row r="193" spans="1:8" s="21" customFormat="1" ht="17.25" x14ac:dyDescent="0.35">
      <c r="A193" s="76"/>
      <c r="B193" s="11"/>
      <c r="C193" s="33" t="s">
        <v>261</v>
      </c>
      <c r="D193" s="55">
        <v>2</v>
      </c>
      <c r="E193" s="77" t="s">
        <v>185</v>
      </c>
      <c r="F193" s="33">
        <v>0</v>
      </c>
      <c r="G193" s="37"/>
      <c r="H193" s="78"/>
    </row>
    <row r="194" spans="1:8" s="21" customFormat="1" ht="17.25" x14ac:dyDescent="0.35">
      <c r="A194" s="76"/>
      <c r="B194" s="11"/>
      <c r="C194" s="33" t="s">
        <v>261</v>
      </c>
      <c r="D194" s="55">
        <v>2</v>
      </c>
      <c r="E194" s="77" t="s">
        <v>186</v>
      </c>
      <c r="F194" s="33">
        <v>0</v>
      </c>
      <c r="G194" s="37"/>
      <c r="H194" s="78"/>
    </row>
    <row r="195" spans="1:8" s="21" customFormat="1" ht="17.25" x14ac:dyDescent="0.35">
      <c r="A195" s="76"/>
      <c r="B195" s="11"/>
      <c r="C195" s="33" t="s">
        <v>261</v>
      </c>
      <c r="D195" s="55">
        <v>2</v>
      </c>
      <c r="E195" s="77" t="s">
        <v>187</v>
      </c>
      <c r="F195" s="33">
        <v>0</v>
      </c>
      <c r="G195" s="37"/>
      <c r="H195" s="78"/>
    </row>
    <row r="196" spans="1:8" s="21" customFormat="1" ht="17.25" x14ac:dyDescent="0.35">
      <c r="A196" s="76"/>
      <c r="B196" s="11"/>
      <c r="C196" s="33" t="s">
        <v>261</v>
      </c>
      <c r="D196" s="55">
        <v>2</v>
      </c>
      <c r="E196" s="77" t="s">
        <v>188</v>
      </c>
      <c r="F196" s="33">
        <v>0</v>
      </c>
      <c r="G196" s="37"/>
      <c r="H196" s="78"/>
    </row>
    <row r="197" spans="1:8" s="21" customFormat="1" ht="17.25" x14ac:dyDescent="0.35">
      <c r="A197" s="76" t="s">
        <v>220</v>
      </c>
      <c r="B197" s="11">
        <v>265</v>
      </c>
      <c r="C197" s="33"/>
      <c r="D197" s="55"/>
      <c r="E197" s="77" t="s">
        <v>221</v>
      </c>
      <c r="F197" s="33" t="s">
        <v>6</v>
      </c>
      <c r="G197" s="37" t="s">
        <v>453</v>
      </c>
      <c r="H197" s="78"/>
    </row>
    <row r="198" spans="1:8" s="21" customFormat="1" ht="17.25" x14ac:dyDescent="0.35">
      <c r="A198" s="76"/>
      <c r="B198" s="11"/>
      <c r="C198" s="33" t="s">
        <v>261</v>
      </c>
      <c r="D198" s="55">
        <v>1</v>
      </c>
      <c r="E198" s="77" t="s">
        <v>19</v>
      </c>
      <c r="F198" s="33">
        <v>0</v>
      </c>
      <c r="G198" s="37"/>
      <c r="H198" s="78"/>
    </row>
    <row r="199" spans="1:8" s="21" customFormat="1" ht="17.25" x14ac:dyDescent="0.35">
      <c r="A199" s="76"/>
      <c r="B199" s="11"/>
      <c r="C199" s="33" t="s">
        <v>261</v>
      </c>
      <c r="D199" s="55">
        <v>1</v>
      </c>
      <c r="E199" s="77" t="s">
        <v>214</v>
      </c>
      <c r="F199" s="33" t="s">
        <v>215</v>
      </c>
      <c r="G199" s="37"/>
      <c r="H199" s="78"/>
    </row>
    <row r="200" spans="1:8" s="21" customFormat="1" ht="17.25" x14ac:dyDescent="0.35">
      <c r="A200" s="76" t="s">
        <v>222</v>
      </c>
      <c r="B200" s="11">
        <v>442</v>
      </c>
      <c r="C200" s="33"/>
      <c r="D200" s="55"/>
      <c r="E200" s="77" t="s">
        <v>223</v>
      </c>
      <c r="F200" s="33" t="s">
        <v>6</v>
      </c>
      <c r="G200" s="37" t="s">
        <v>453</v>
      </c>
      <c r="H200" s="78"/>
    </row>
    <row r="201" spans="1:8" s="21" customFormat="1" ht="17.25" x14ac:dyDescent="0.35">
      <c r="A201" s="76"/>
      <c r="B201" s="11"/>
      <c r="C201" s="33" t="s">
        <v>261</v>
      </c>
      <c r="D201" s="55">
        <v>1</v>
      </c>
      <c r="E201" s="77" t="s">
        <v>19</v>
      </c>
      <c r="F201" s="33">
        <v>0</v>
      </c>
      <c r="G201" s="37"/>
      <c r="H201" s="78"/>
    </row>
    <row r="202" spans="1:8" s="21" customFormat="1" ht="17.25" x14ac:dyDescent="0.35">
      <c r="A202" s="76"/>
      <c r="B202" s="11"/>
      <c r="C202" s="33" t="s">
        <v>261</v>
      </c>
      <c r="D202" s="55">
        <v>2</v>
      </c>
      <c r="E202" s="77" t="s">
        <v>224</v>
      </c>
      <c r="F202" s="33" t="s">
        <v>225</v>
      </c>
      <c r="G202" s="37"/>
      <c r="H202" s="78"/>
    </row>
    <row r="203" spans="1:8" s="21" customFormat="1" ht="17.25" x14ac:dyDescent="0.35">
      <c r="A203" s="76" t="s">
        <v>228</v>
      </c>
      <c r="B203" s="11">
        <v>463</v>
      </c>
      <c r="C203" s="33" t="s">
        <v>261</v>
      </c>
      <c r="D203" s="55">
        <v>1</v>
      </c>
      <c r="E203" s="77" t="s">
        <v>122</v>
      </c>
      <c r="F203" s="33" t="s">
        <v>459</v>
      </c>
      <c r="G203" s="37" t="s">
        <v>454</v>
      </c>
      <c r="H203" s="78"/>
    </row>
    <row r="204" spans="1:8" s="21" customFormat="1" ht="17.25" x14ac:dyDescent="0.35">
      <c r="A204" s="76" t="s">
        <v>216</v>
      </c>
      <c r="B204" s="11">
        <v>464</v>
      </c>
      <c r="C204" s="33" t="s">
        <v>261</v>
      </c>
      <c r="D204" s="55">
        <v>1</v>
      </c>
      <c r="E204" s="77" t="s">
        <v>217</v>
      </c>
      <c r="F204" s="33">
        <v>0</v>
      </c>
      <c r="G204" s="37" t="s">
        <v>454</v>
      </c>
      <c r="H204" s="78"/>
    </row>
    <row r="205" spans="1:8" s="21" customFormat="1" ht="17.25" x14ac:dyDescent="0.35">
      <c r="A205" s="76" t="s">
        <v>229</v>
      </c>
      <c r="B205" s="11">
        <v>714</v>
      </c>
      <c r="C205" s="33"/>
      <c r="D205" s="55"/>
      <c r="E205" s="77" t="s">
        <v>126</v>
      </c>
      <c r="F205" s="33"/>
      <c r="G205" s="37" t="s">
        <v>454</v>
      </c>
      <c r="H205" s="78"/>
    </row>
    <row r="206" spans="1:8" s="21" customFormat="1" ht="17.25" x14ac:dyDescent="0.35">
      <c r="A206" s="76"/>
      <c r="B206" s="11"/>
      <c r="C206" s="33" t="s">
        <v>261</v>
      </c>
      <c r="D206" s="55">
        <v>1</v>
      </c>
      <c r="E206" s="77" t="s">
        <v>127</v>
      </c>
      <c r="F206" s="33" t="s">
        <v>4</v>
      </c>
      <c r="G206" s="37"/>
      <c r="H206" s="78"/>
    </row>
    <row r="207" spans="1:8" s="21" customFormat="1" ht="17.25" x14ac:dyDescent="0.35">
      <c r="A207" s="76"/>
      <c r="B207" s="11"/>
      <c r="C207" s="33" t="s">
        <v>261</v>
      </c>
      <c r="D207" s="55">
        <v>1</v>
      </c>
      <c r="E207" s="77" t="s">
        <v>128</v>
      </c>
      <c r="F207" s="33" t="s">
        <v>129</v>
      </c>
      <c r="G207" s="37"/>
      <c r="H207" s="78"/>
    </row>
    <row r="208" spans="1:8" s="21" customFormat="1" ht="17.25" x14ac:dyDescent="0.35">
      <c r="A208" s="76"/>
      <c r="B208" s="11"/>
      <c r="C208" s="33" t="s">
        <v>261</v>
      </c>
      <c r="D208" s="55">
        <v>1</v>
      </c>
      <c r="E208" s="77" t="s">
        <v>130</v>
      </c>
      <c r="F208" s="33" t="s">
        <v>129</v>
      </c>
      <c r="G208" s="37"/>
      <c r="H208" s="78"/>
    </row>
    <row r="209" spans="1:8" s="21" customFormat="1" ht="17.25" x14ac:dyDescent="0.35">
      <c r="A209" s="76"/>
      <c r="B209" s="11"/>
      <c r="C209" s="33" t="s">
        <v>261</v>
      </c>
      <c r="D209" s="55">
        <v>1</v>
      </c>
      <c r="E209" s="77" t="s">
        <v>131</v>
      </c>
      <c r="F209" s="33" t="s">
        <v>129</v>
      </c>
      <c r="G209" s="37"/>
      <c r="H209" s="78"/>
    </row>
    <row r="210" spans="1:8" s="21" customFormat="1" ht="17.25" x14ac:dyDescent="0.35">
      <c r="A210" s="76"/>
      <c r="B210" s="11"/>
      <c r="C210" s="33" t="s">
        <v>261</v>
      </c>
      <c r="D210" s="55">
        <v>1</v>
      </c>
      <c r="E210" s="77" t="s">
        <v>132</v>
      </c>
      <c r="F210" s="33" t="s">
        <v>129</v>
      </c>
      <c r="G210" s="37"/>
      <c r="H210" s="78"/>
    </row>
    <row r="211" spans="1:8" s="21" customFormat="1" ht="17.25" x14ac:dyDescent="0.35">
      <c r="A211" s="76"/>
      <c r="B211" s="11"/>
      <c r="C211" s="33" t="s">
        <v>261</v>
      </c>
      <c r="D211" s="55">
        <v>1</v>
      </c>
      <c r="E211" s="77" t="s">
        <v>133</v>
      </c>
      <c r="F211" s="33" t="s">
        <v>129</v>
      </c>
      <c r="G211" s="37"/>
      <c r="H211" s="78"/>
    </row>
    <row r="212" spans="1:8" s="21" customFormat="1" ht="17.25" x14ac:dyDescent="0.35">
      <c r="A212" s="76" t="s">
        <v>218</v>
      </c>
      <c r="B212" s="11">
        <v>1193</v>
      </c>
      <c r="C212" s="33" t="s">
        <v>261</v>
      </c>
      <c r="D212" s="55">
        <v>1</v>
      </c>
      <c r="E212" s="77" t="s">
        <v>219</v>
      </c>
      <c r="F212" s="33" t="s">
        <v>4</v>
      </c>
      <c r="G212" s="37" t="s">
        <v>454</v>
      </c>
      <c r="H212" s="78"/>
    </row>
    <row r="213" spans="1:8" s="21" customFormat="1" ht="17.25" x14ac:dyDescent="0.35">
      <c r="A213" s="76" t="s">
        <v>605</v>
      </c>
      <c r="B213" s="11">
        <v>3634</v>
      </c>
      <c r="C213" s="33" t="s">
        <v>261</v>
      </c>
      <c r="D213" s="55">
        <v>2</v>
      </c>
      <c r="E213" s="77" t="s">
        <v>604</v>
      </c>
      <c r="F213" s="33" t="s">
        <v>609</v>
      </c>
      <c r="G213" s="37" t="s">
        <v>274</v>
      </c>
      <c r="H213" s="78"/>
    </row>
    <row r="214" spans="1:8" s="21" customFormat="1" ht="17.25" x14ac:dyDescent="0.35">
      <c r="A214" s="76" t="s">
        <v>607</v>
      </c>
      <c r="B214" s="11">
        <v>4185</v>
      </c>
      <c r="C214" s="33" t="s">
        <v>261</v>
      </c>
      <c r="D214" s="55">
        <v>1</v>
      </c>
      <c r="E214" s="77" t="s">
        <v>606</v>
      </c>
      <c r="F214" s="33">
        <v>0</v>
      </c>
      <c r="G214" s="37" t="s">
        <v>274</v>
      </c>
      <c r="H214" s="78"/>
    </row>
    <row r="215" spans="1:8" s="21" customFormat="1" ht="17.25" x14ac:dyDescent="0.35">
      <c r="A215" s="88" t="s">
        <v>373</v>
      </c>
      <c r="B215" s="11">
        <v>4192</v>
      </c>
      <c r="C215" s="33" t="s">
        <v>261</v>
      </c>
      <c r="D215" s="21">
        <v>1</v>
      </c>
      <c r="E215" s="88" t="s">
        <v>608</v>
      </c>
      <c r="F215" s="33" t="s">
        <v>459</v>
      </c>
      <c r="G215" s="37" t="s">
        <v>274</v>
      </c>
      <c r="H215" s="89"/>
    </row>
    <row r="216" spans="1:8" s="21" customFormat="1" ht="17.25" x14ac:dyDescent="0.35">
      <c r="A216" s="90" t="s">
        <v>683</v>
      </c>
      <c r="B216" s="11">
        <v>7162</v>
      </c>
      <c r="C216" s="33"/>
      <c r="D216" s="55"/>
      <c r="E216" s="91"/>
      <c r="F216" s="33"/>
      <c r="G216" s="37" t="s">
        <v>274</v>
      </c>
      <c r="H216" s="92"/>
    </row>
    <row r="217" spans="1:8" s="21" customFormat="1" ht="17.25" x14ac:dyDescent="0.35">
      <c r="A217" s="90"/>
      <c r="B217" s="11"/>
      <c r="C217" s="55" t="s">
        <v>261</v>
      </c>
      <c r="D217" s="55">
        <v>2</v>
      </c>
      <c r="E217" s="91" t="s">
        <v>684</v>
      </c>
      <c r="F217" s="33">
        <v>1</v>
      </c>
      <c r="G217" s="37"/>
      <c r="H217" s="92"/>
    </row>
    <row r="218" spans="1:8" s="21" customFormat="1" ht="17.25" x14ac:dyDescent="0.35">
      <c r="A218" s="90"/>
      <c r="B218" s="11"/>
      <c r="C218" s="55" t="s">
        <v>685</v>
      </c>
      <c r="D218" s="55">
        <v>2</v>
      </c>
      <c r="E218" s="91" t="s">
        <v>686</v>
      </c>
      <c r="F218" s="33" t="s">
        <v>687</v>
      </c>
      <c r="G218" s="37"/>
      <c r="H218" s="92" t="s">
        <v>688</v>
      </c>
    </row>
    <row r="219" spans="1:8" s="21" customFormat="1" ht="17.25" x14ac:dyDescent="0.35">
      <c r="A219" s="76"/>
      <c r="B219" s="11"/>
      <c r="C219" s="33"/>
      <c r="D219" s="55"/>
      <c r="E219" s="77"/>
      <c r="F219" s="33"/>
      <c r="G219" s="37"/>
      <c r="H219" s="78"/>
    </row>
    <row r="220" spans="1:8" s="21" customFormat="1" ht="17.25" x14ac:dyDescent="0.35">
      <c r="A220" s="76"/>
      <c r="B220" s="11"/>
      <c r="C220" s="33"/>
      <c r="D220" s="55"/>
      <c r="E220" s="77"/>
      <c r="F220" s="33"/>
      <c r="G220" s="37"/>
      <c r="H220" s="78"/>
    </row>
    <row r="221" spans="1:8" s="21" customFormat="1" ht="18" thickBot="1" x14ac:dyDescent="0.4">
      <c r="A221" s="79"/>
      <c r="B221" s="73"/>
      <c r="C221" s="73"/>
      <c r="D221" s="14"/>
      <c r="E221" s="65"/>
      <c r="F221" s="14"/>
      <c r="G221" s="15"/>
      <c r="H221" s="66"/>
    </row>
    <row r="222" spans="1:8" s="21" customFormat="1" ht="15" x14ac:dyDescent="0.3">
      <c r="A222" s="80"/>
      <c r="B222" s="80"/>
      <c r="C222" s="80"/>
      <c r="D222" s="80"/>
      <c r="E222" s="80"/>
      <c r="F222" s="80"/>
      <c r="G222" s="80"/>
      <c r="H222" s="81"/>
    </row>
    <row r="223" spans="1:8" s="21" customFormat="1" ht="20.25" thickBot="1" x14ac:dyDescent="0.45">
      <c r="A223" s="82" t="s">
        <v>273</v>
      </c>
      <c r="B223" s="83"/>
      <c r="C223" s="83"/>
      <c r="D223" s="83"/>
      <c r="E223" s="83"/>
      <c r="F223" s="83"/>
      <c r="G223" s="83"/>
      <c r="H223" s="84"/>
    </row>
    <row r="224" spans="1:8" s="21" customFormat="1" ht="15.75" thickBot="1" x14ac:dyDescent="0.35">
      <c r="A224" s="62" t="s">
        <v>252</v>
      </c>
      <c r="B224" s="62" t="s">
        <v>7</v>
      </c>
      <c r="C224" s="62" t="s">
        <v>258</v>
      </c>
      <c r="D224" s="62" t="s">
        <v>259</v>
      </c>
      <c r="E224" s="62" t="s">
        <v>243</v>
      </c>
      <c r="F224" s="62"/>
      <c r="G224" s="62" t="s">
        <v>266</v>
      </c>
      <c r="H224" s="100" t="s">
        <v>242</v>
      </c>
    </row>
    <row r="225" spans="1:11" s="21" customFormat="1" ht="15" x14ac:dyDescent="0.3">
      <c r="A225" s="118">
        <v>60772</v>
      </c>
      <c r="B225" s="119">
        <v>257</v>
      </c>
      <c r="C225" s="120" t="s">
        <v>239</v>
      </c>
      <c r="D225" s="121"/>
      <c r="E225" s="121" t="s">
        <v>780</v>
      </c>
      <c r="F225" s="118" t="s">
        <v>6</v>
      </c>
      <c r="G225" s="122" t="s">
        <v>432</v>
      </c>
      <c r="H225" s="123"/>
    </row>
    <row r="226" spans="1:11" s="21" customFormat="1" ht="15.75" thickBot="1" x14ac:dyDescent="0.35">
      <c r="A226" s="124"/>
      <c r="B226" s="125"/>
      <c r="C226" s="126"/>
      <c r="D226" s="104"/>
      <c r="E226" s="104"/>
      <c r="F226" s="124"/>
      <c r="G226" s="127"/>
      <c r="H226" s="128"/>
    </row>
    <row r="227" spans="1:11" s="21" customFormat="1" ht="15.75" thickBot="1" x14ac:dyDescent="0.35">
      <c r="A227" s="101"/>
      <c r="B227" s="101"/>
      <c r="C227" s="101"/>
      <c r="D227" s="101"/>
      <c r="E227" s="101"/>
      <c r="F227" s="101"/>
      <c r="G227" s="101"/>
      <c r="H227" s="102"/>
    </row>
    <row r="228" spans="1:11" s="34" customFormat="1" ht="20.25" thickBot="1" x14ac:dyDescent="0.45">
      <c r="A228" s="68" t="s">
        <v>265</v>
      </c>
      <c r="B228" s="69"/>
      <c r="C228" s="69"/>
      <c r="D228" s="69"/>
      <c r="E228" s="69"/>
      <c r="F228" s="69"/>
      <c r="G228" s="69"/>
      <c r="H228" s="70"/>
      <c r="I228" s="103"/>
    </row>
    <row r="229" spans="1:11" s="34" customFormat="1" ht="15.75" thickBot="1" x14ac:dyDescent="0.35">
      <c r="A229" s="62" t="s">
        <v>240</v>
      </c>
      <c r="B229" s="62" t="s">
        <v>241</v>
      </c>
      <c r="C229" s="62" t="s">
        <v>258</v>
      </c>
      <c r="D229" s="62" t="s">
        <v>268</v>
      </c>
      <c r="E229" s="62" t="s">
        <v>267</v>
      </c>
      <c r="F229" s="62" t="s">
        <v>260</v>
      </c>
      <c r="G229" s="62" t="s">
        <v>266</v>
      </c>
      <c r="H229" s="100" t="s">
        <v>275</v>
      </c>
      <c r="I229" s="62" t="s">
        <v>242</v>
      </c>
    </row>
    <row r="230" spans="1:11" s="34" customFormat="1" ht="30.75" x14ac:dyDescent="0.35">
      <c r="A230" s="106" t="s">
        <v>285</v>
      </c>
      <c r="B230" s="111" t="s">
        <v>286</v>
      </c>
      <c r="C230" s="111" t="s">
        <v>292</v>
      </c>
      <c r="D230" s="111"/>
      <c r="E230" s="111"/>
      <c r="F230" s="111"/>
      <c r="G230" s="111" t="s">
        <v>274</v>
      </c>
      <c r="H230" s="112"/>
      <c r="I230" s="98">
        <v>65591</v>
      </c>
    </row>
    <row r="231" spans="1:11" s="34" customFormat="1" ht="17.25" x14ac:dyDescent="0.35">
      <c r="A231" s="107"/>
      <c r="B231" s="113"/>
      <c r="C231" s="113"/>
      <c r="D231" s="113" t="s">
        <v>261</v>
      </c>
      <c r="E231" s="113">
        <v>4</v>
      </c>
      <c r="F231" s="113" t="s">
        <v>287</v>
      </c>
      <c r="G231" s="113"/>
      <c r="H231" s="114"/>
      <c r="I231" s="97"/>
    </row>
    <row r="232" spans="1:11" s="34" customFormat="1" ht="17.25" x14ac:dyDescent="0.35">
      <c r="A232" s="107" t="s">
        <v>346</v>
      </c>
      <c r="B232" s="113" t="s">
        <v>295</v>
      </c>
      <c r="C232" s="113" t="s">
        <v>292</v>
      </c>
      <c r="D232" s="113"/>
      <c r="E232" s="113"/>
      <c r="F232" s="113"/>
      <c r="G232" s="113" t="s">
        <v>274</v>
      </c>
      <c r="H232" s="114"/>
      <c r="I232" s="97">
        <v>65777</v>
      </c>
    </row>
    <row r="233" spans="1:11" s="34" customFormat="1" ht="27.75" x14ac:dyDescent="0.35">
      <c r="A233" s="107"/>
      <c r="B233" s="113"/>
      <c r="C233" s="113"/>
      <c r="D233" s="113" t="s">
        <v>261</v>
      </c>
      <c r="E233" s="113">
        <v>1</v>
      </c>
      <c r="F233" s="113">
        <v>0</v>
      </c>
      <c r="G233" s="113"/>
      <c r="H233" s="114"/>
      <c r="I233" s="97" t="s">
        <v>472</v>
      </c>
    </row>
    <row r="234" spans="1:11" s="34" customFormat="1" ht="17.25" x14ac:dyDescent="0.35">
      <c r="A234" s="107" t="s">
        <v>298</v>
      </c>
      <c r="B234" s="108" t="s">
        <v>290</v>
      </c>
      <c r="C234" s="108" t="s">
        <v>292</v>
      </c>
      <c r="D234" s="108"/>
      <c r="E234" s="108"/>
      <c r="F234" s="113"/>
      <c r="G234" s="113" t="s">
        <v>274</v>
      </c>
      <c r="H234" s="114"/>
      <c r="I234" s="97">
        <v>67200</v>
      </c>
    </row>
    <row r="235" spans="1:11" s="34" customFormat="1" ht="17.25" x14ac:dyDescent="0.35">
      <c r="A235" s="107"/>
      <c r="B235" s="108"/>
      <c r="C235" s="108"/>
      <c r="D235" s="108" t="s">
        <v>261</v>
      </c>
      <c r="E235" s="108">
        <v>1</v>
      </c>
      <c r="F235" s="113">
        <v>1</v>
      </c>
      <c r="G235" s="113"/>
      <c r="H235" s="114"/>
      <c r="I235" s="97" t="s">
        <v>42</v>
      </c>
    </row>
    <row r="236" spans="1:11" s="34" customFormat="1" ht="17.25" x14ac:dyDescent="0.35">
      <c r="A236" s="107"/>
      <c r="B236" s="108"/>
      <c r="C236" s="108"/>
      <c r="D236" s="108" t="s">
        <v>261</v>
      </c>
      <c r="E236" s="108">
        <v>1</v>
      </c>
      <c r="F236" s="113">
        <v>1</v>
      </c>
      <c r="G236" s="113"/>
      <c r="H236" s="114"/>
      <c r="I236" s="97" t="s">
        <v>353</v>
      </c>
    </row>
    <row r="237" spans="1:11" s="34" customFormat="1" ht="17.25" x14ac:dyDescent="0.35">
      <c r="A237" s="107"/>
      <c r="B237" s="108"/>
      <c r="C237" s="108"/>
      <c r="D237" s="108" t="s">
        <v>261</v>
      </c>
      <c r="E237" s="108">
        <v>1</v>
      </c>
      <c r="F237" s="113">
        <v>1</v>
      </c>
      <c r="G237" s="113"/>
      <c r="H237" s="114"/>
      <c r="I237" s="97" t="s">
        <v>354</v>
      </c>
    </row>
    <row r="238" spans="1:11" s="17" customFormat="1" ht="17.25" x14ac:dyDescent="0.35">
      <c r="A238" s="107"/>
      <c r="B238" s="108"/>
      <c r="C238" s="108"/>
      <c r="D238" s="108" t="s">
        <v>261</v>
      </c>
      <c r="E238" s="108">
        <v>1</v>
      </c>
      <c r="F238" s="113">
        <v>1</v>
      </c>
      <c r="G238" s="113"/>
      <c r="H238" s="114"/>
      <c r="I238" s="97" t="s">
        <v>355</v>
      </c>
      <c r="J238" s="34"/>
      <c r="K238" s="34"/>
    </row>
    <row r="239" spans="1:11" s="34" customFormat="1" ht="17.25" x14ac:dyDescent="0.35">
      <c r="A239" s="107"/>
      <c r="B239" s="108"/>
      <c r="C239" s="108"/>
      <c r="D239" s="108" t="s">
        <v>261</v>
      </c>
      <c r="E239" s="108">
        <v>1</v>
      </c>
      <c r="F239" s="113">
        <v>3</v>
      </c>
      <c r="G239" s="113"/>
      <c r="H239" s="114"/>
      <c r="I239" s="97" t="s">
        <v>356</v>
      </c>
    </row>
    <row r="240" spans="1:11" s="34" customFormat="1" ht="17.25" x14ac:dyDescent="0.35">
      <c r="A240" s="107"/>
      <c r="B240" s="108"/>
      <c r="C240" s="108"/>
      <c r="D240" s="108" t="s">
        <v>261</v>
      </c>
      <c r="E240" s="108">
        <v>2</v>
      </c>
      <c r="F240" s="113">
        <v>0</v>
      </c>
      <c r="G240" s="113"/>
      <c r="H240" s="114"/>
      <c r="I240" s="97" t="s">
        <v>357</v>
      </c>
    </row>
    <row r="241" spans="1:9" s="34" customFormat="1" ht="17.25" x14ac:dyDescent="0.35">
      <c r="A241" s="212" t="s">
        <v>1243</v>
      </c>
      <c r="B241" s="212" t="s">
        <v>1244</v>
      </c>
      <c r="C241" s="212" t="s">
        <v>292</v>
      </c>
      <c r="D241" s="212"/>
      <c r="E241" s="212"/>
      <c r="F241" s="213"/>
      <c r="G241" s="213" t="s">
        <v>274</v>
      </c>
      <c r="H241" s="214"/>
      <c r="I241" s="215">
        <v>67304</v>
      </c>
    </row>
    <row r="242" spans="1:9" s="34" customFormat="1" ht="17.25" x14ac:dyDescent="0.35">
      <c r="A242" s="212"/>
      <c r="B242" s="212"/>
      <c r="C242" s="212"/>
      <c r="D242" s="212" t="s">
        <v>261</v>
      </c>
      <c r="E242" s="212">
        <v>1</v>
      </c>
      <c r="F242" s="213">
        <v>1</v>
      </c>
      <c r="G242" s="213"/>
      <c r="H242" s="214"/>
      <c r="I242" s="215"/>
    </row>
    <row r="243" spans="1:9" s="34" customFormat="1" ht="17.25" x14ac:dyDescent="0.35">
      <c r="A243" s="107" t="s">
        <v>299</v>
      </c>
      <c r="B243" s="108" t="s">
        <v>289</v>
      </c>
      <c r="C243" s="108" t="s">
        <v>292</v>
      </c>
      <c r="D243" s="108"/>
      <c r="E243" s="108"/>
      <c r="F243" s="113"/>
      <c r="G243" s="113" t="s">
        <v>274</v>
      </c>
      <c r="H243" s="114"/>
      <c r="I243" s="97">
        <v>65953</v>
      </c>
    </row>
    <row r="244" spans="1:9" s="34" customFormat="1" ht="17.25" x14ac:dyDescent="0.35">
      <c r="A244" s="107"/>
      <c r="B244" s="108"/>
      <c r="C244" s="108"/>
      <c r="D244" s="108" t="s">
        <v>261</v>
      </c>
      <c r="E244" s="108">
        <v>4</v>
      </c>
      <c r="F244" s="113">
        <v>120</v>
      </c>
      <c r="G244" s="113"/>
      <c r="H244" s="114"/>
      <c r="I244" s="97"/>
    </row>
    <row r="245" spans="1:9" s="34" customFormat="1" ht="17.25" x14ac:dyDescent="0.35">
      <c r="A245" s="107"/>
      <c r="B245" s="108"/>
      <c r="C245" s="108"/>
      <c r="D245" s="108" t="s">
        <v>261</v>
      </c>
      <c r="E245" s="108">
        <v>4</v>
      </c>
      <c r="F245" s="113">
        <v>3600</v>
      </c>
      <c r="G245" s="113"/>
      <c r="H245" s="114"/>
      <c r="I245" s="97"/>
    </row>
    <row r="246" spans="1:9" s="34" customFormat="1" ht="17.25" x14ac:dyDescent="0.35">
      <c r="A246" s="107" t="s">
        <v>300</v>
      </c>
      <c r="B246" s="108" t="s">
        <v>288</v>
      </c>
      <c r="C246" s="108" t="s">
        <v>292</v>
      </c>
      <c r="D246" s="108"/>
      <c r="E246" s="108"/>
      <c r="F246" s="113"/>
      <c r="G246" s="113" t="s">
        <v>274</v>
      </c>
      <c r="H246" s="114"/>
      <c r="I246" s="97">
        <v>66035</v>
      </c>
    </row>
    <row r="247" spans="1:9" s="34" customFormat="1" ht="17.25" x14ac:dyDescent="0.35">
      <c r="A247" s="107"/>
      <c r="B247" s="108"/>
      <c r="C247" s="108"/>
      <c r="D247" s="108" t="s">
        <v>261</v>
      </c>
      <c r="E247" s="108">
        <v>1</v>
      </c>
      <c r="F247" s="113">
        <v>1</v>
      </c>
      <c r="G247" s="113"/>
      <c r="H247" s="114"/>
      <c r="I247" s="97"/>
    </row>
    <row r="248" spans="1:9" s="34" customFormat="1" ht="17.25" x14ac:dyDescent="0.35">
      <c r="A248" s="107" t="s">
        <v>301</v>
      </c>
      <c r="B248" s="108" t="s">
        <v>1320</v>
      </c>
      <c r="C248" s="108" t="s">
        <v>292</v>
      </c>
      <c r="D248" s="108"/>
      <c r="E248" s="108"/>
      <c r="F248" s="113"/>
      <c r="G248" s="113" t="s">
        <v>274</v>
      </c>
      <c r="H248" s="114"/>
      <c r="I248" s="97">
        <v>67270</v>
      </c>
    </row>
    <row r="249" spans="1:9" s="34" customFormat="1" ht="17.25" x14ac:dyDescent="0.35">
      <c r="A249" s="107"/>
      <c r="B249" s="108"/>
      <c r="C249" s="108"/>
      <c r="D249" s="108" t="s">
        <v>261</v>
      </c>
      <c r="E249" s="108">
        <v>1</v>
      </c>
      <c r="F249" s="113">
        <v>1</v>
      </c>
      <c r="G249" s="113"/>
      <c r="H249" s="114"/>
      <c r="I249" s="97"/>
    </row>
    <row r="250" spans="1:9" s="34" customFormat="1" ht="17.25" x14ac:dyDescent="0.35">
      <c r="A250" s="107" t="s">
        <v>302</v>
      </c>
      <c r="B250" s="108" t="s">
        <v>303</v>
      </c>
      <c r="C250" s="108" t="s">
        <v>292</v>
      </c>
      <c r="D250" s="108"/>
      <c r="E250" s="108"/>
      <c r="F250" s="113"/>
      <c r="G250" s="113" t="s">
        <v>274</v>
      </c>
      <c r="H250" s="114"/>
      <c r="I250" s="97">
        <v>67292</v>
      </c>
    </row>
    <row r="251" spans="1:9" s="34" customFormat="1" ht="17.25" x14ac:dyDescent="0.35">
      <c r="A251" s="107"/>
      <c r="B251" s="108"/>
      <c r="C251" s="108"/>
      <c r="D251" s="108" t="s">
        <v>261</v>
      </c>
      <c r="E251" s="108">
        <v>1</v>
      </c>
      <c r="F251" s="113">
        <v>1</v>
      </c>
      <c r="G251" s="113"/>
      <c r="H251" s="114"/>
      <c r="I251" s="97"/>
    </row>
    <row r="252" spans="1:9" s="34" customFormat="1" ht="17.25" x14ac:dyDescent="0.35">
      <c r="A252" s="107" t="s">
        <v>304</v>
      </c>
      <c r="B252" s="108" t="s">
        <v>305</v>
      </c>
      <c r="C252" s="108" t="s">
        <v>292</v>
      </c>
      <c r="D252" s="108"/>
      <c r="E252" s="108"/>
      <c r="F252" s="113"/>
      <c r="G252" s="113" t="s">
        <v>274</v>
      </c>
      <c r="H252" s="114"/>
      <c r="I252" s="97">
        <v>65881</v>
      </c>
    </row>
    <row r="253" spans="1:9" s="34" customFormat="1" ht="17.25" x14ac:dyDescent="0.35">
      <c r="A253" s="107"/>
      <c r="B253" s="108"/>
      <c r="C253" s="108"/>
      <c r="D253" s="108" t="s">
        <v>261</v>
      </c>
      <c r="E253" s="108">
        <v>1</v>
      </c>
      <c r="F253" s="113" t="s">
        <v>4</v>
      </c>
      <c r="G253" s="113"/>
      <c r="H253" s="114"/>
      <c r="I253" s="97"/>
    </row>
    <row r="254" spans="1:9" s="34" customFormat="1" ht="34.5" x14ac:dyDescent="0.35">
      <c r="A254" s="107" t="s">
        <v>306</v>
      </c>
      <c r="B254" s="108" t="s">
        <v>307</v>
      </c>
      <c r="C254" s="108" t="s">
        <v>292</v>
      </c>
      <c r="D254" s="108"/>
      <c r="E254" s="108"/>
      <c r="F254" s="113"/>
      <c r="G254" s="113" t="s">
        <v>274</v>
      </c>
      <c r="H254" s="114"/>
      <c r="I254" s="97">
        <v>65634</v>
      </c>
    </row>
    <row r="255" spans="1:9" s="34" customFormat="1" ht="17.25" x14ac:dyDescent="0.35">
      <c r="A255" s="107"/>
      <c r="B255" s="108"/>
      <c r="C255" s="108"/>
      <c r="D255" s="108" t="s">
        <v>261</v>
      </c>
      <c r="E255" s="108">
        <v>1</v>
      </c>
      <c r="F255" s="113">
        <v>1</v>
      </c>
      <c r="G255" s="113"/>
      <c r="H255" s="114"/>
      <c r="I255" s="97"/>
    </row>
    <row r="256" spans="1:9" s="34" customFormat="1" ht="17.25" x14ac:dyDescent="0.35">
      <c r="A256" s="107" t="s">
        <v>309</v>
      </c>
      <c r="B256" s="108" t="s">
        <v>642</v>
      </c>
      <c r="C256" s="108" t="s">
        <v>263</v>
      </c>
      <c r="D256" s="108"/>
      <c r="E256" s="108"/>
      <c r="F256" s="113"/>
      <c r="G256" s="113" t="s">
        <v>274</v>
      </c>
      <c r="H256" s="114" t="s">
        <v>359</v>
      </c>
      <c r="I256" s="97"/>
    </row>
    <row r="257" spans="1:9" s="34" customFormat="1" ht="17.25" x14ac:dyDescent="0.35">
      <c r="A257" s="107" t="s">
        <v>316</v>
      </c>
      <c r="B257" s="108" t="s">
        <v>643</v>
      </c>
      <c r="C257" s="108" t="s">
        <v>263</v>
      </c>
      <c r="D257" s="108"/>
      <c r="E257" s="108"/>
      <c r="F257" s="113"/>
      <c r="G257" s="113" t="s">
        <v>274</v>
      </c>
      <c r="H257" s="114" t="s">
        <v>360</v>
      </c>
      <c r="I257" s="97"/>
    </row>
    <row r="258" spans="1:9" s="34" customFormat="1" ht="17.25" x14ac:dyDescent="0.35">
      <c r="A258" s="107" t="s">
        <v>310</v>
      </c>
      <c r="B258" s="108" t="s">
        <v>294</v>
      </c>
      <c r="C258" s="108" t="s">
        <v>292</v>
      </c>
      <c r="D258" s="108"/>
      <c r="E258" s="108"/>
      <c r="F258" s="113"/>
      <c r="G258" s="113" t="s">
        <v>274</v>
      </c>
      <c r="H258" s="114"/>
      <c r="I258" s="97"/>
    </row>
    <row r="259" spans="1:9" s="34" customFormat="1" ht="17.25" x14ac:dyDescent="0.35">
      <c r="A259" s="107"/>
      <c r="B259" s="108"/>
      <c r="C259" s="108"/>
      <c r="D259" s="108" t="s">
        <v>261</v>
      </c>
      <c r="E259" s="108">
        <v>1</v>
      </c>
      <c r="F259" s="113">
        <v>1</v>
      </c>
      <c r="G259" s="113"/>
      <c r="H259" s="114"/>
      <c r="I259" s="97"/>
    </row>
    <row r="260" spans="1:9" s="34" customFormat="1" ht="17.25" x14ac:dyDescent="0.35">
      <c r="A260" s="107" t="s">
        <v>311</v>
      </c>
      <c r="B260" s="108" t="s">
        <v>312</v>
      </c>
      <c r="C260" s="108" t="s">
        <v>263</v>
      </c>
      <c r="D260" s="108"/>
      <c r="E260" s="108"/>
      <c r="F260" s="113"/>
      <c r="G260" s="113" t="s">
        <v>274</v>
      </c>
      <c r="H260" s="114" t="s">
        <v>361</v>
      </c>
      <c r="I260" s="97" t="s">
        <v>363</v>
      </c>
    </row>
    <row r="261" spans="1:9" s="34" customFormat="1" ht="17.25" x14ac:dyDescent="0.35">
      <c r="A261" s="107" t="s">
        <v>1281</v>
      </c>
      <c r="B261" s="108" t="s">
        <v>1282</v>
      </c>
      <c r="C261" s="108" t="s">
        <v>263</v>
      </c>
      <c r="D261" s="108"/>
      <c r="E261" s="108"/>
      <c r="F261" s="113"/>
      <c r="G261" s="113" t="s">
        <v>274</v>
      </c>
      <c r="H261" s="114" t="s">
        <v>1283</v>
      </c>
      <c r="I261" s="97"/>
    </row>
    <row r="262" spans="1:9" s="34" customFormat="1" ht="17.25" x14ac:dyDescent="0.35">
      <c r="A262" s="107" t="s">
        <v>350</v>
      </c>
      <c r="B262" s="108" t="s">
        <v>349</v>
      </c>
      <c r="C262" s="108" t="s">
        <v>263</v>
      </c>
      <c r="D262" s="108"/>
      <c r="E262" s="108"/>
      <c r="F262" s="113"/>
      <c r="G262" s="113" t="s">
        <v>6</v>
      </c>
      <c r="H262" s="114" t="s">
        <v>358</v>
      </c>
      <c r="I262" s="97" t="s">
        <v>363</v>
      </c>
    </row>
    <row r="263" spans="1:9" s="34" customFormat="1" ht="17.25" x14ac:dyDescent="0.35">
      <c r="A263" s="107" t="s">
        <v>377</v>
      </c>
      <c r="B263" s="108" t="s">
        <v>378</v>
      </c>
      <c r="C263" s="108" t="s">
        <v>292</v>
      </c>
      <c r="D263" s="108"/>
      <c r="E263" s="108"/>
      <c r="F263" s="113"/>
      <c r="G263" s="113" t="s">
        <v>274</v>
      </c>
      <c r="H263" s="114"/>
      <c r="I263" s="97">
        <v>66042</v>
      </c>
    </row>
    <row r="264" spans="1:9" s="34" customFormat="1" ht="17.25" x14ac:dyDescent="0.35">
      <c r="A264" s="107"/>
      <c r="B264" s="108"/>
      <c r="C264" s="108"/>
      <c r="D264" s="108" t="s">
        <v>261</v>
      </c>
      <c r="E264" s="108">
        <v>1</v>
      </c>
      <c r="F264" s="113">
        <v>0</v>
      </c>
      <c r="G264" s="113"/>
      <c r="H264" s="114"/>
      <c r="I264" s="97"/>
    </row>
    <row r="265" spans="1:9" s="34" customFormat="1" ht="17.25" x14ac:dyDescent="0.35">
      <c r="A265" s="107"/>
      <c r="B265" s="108"/>
      <c r="C265" s="108"/>
      <c r="D265" s="108" t="s">
        <v>261</v>
      </c>
      <c r="E265" s="108">
        <v>1</v>
      </c>
      <c r="F265" s="113">
        <v>0</v>
      </c>
      <c r="G265" s="113"/>
      <c r="H265" s="114"/>
      <c r="I265" s="97"/>
    </row>
    <row r="266" spans="1:9" s="34" customFormat="1" ht="17.25" x14ac:dyDescent="0.35">
      <c r="A266" s="107"/>
      <c r="B266" s="108"/>
      <c r="C266" s="108"/>
      <c r="D266" s="108" t="s">
        <v>261</v>
      </c>
      <c r="E266" s="108">
        <v>1</v>
      </c>
      <c r="F266" s="113">
        <v>8</v>
      </c>
      <c r="G266" s="113"/>
      <c r="H266" s="114"/>
      <c r="I266" s="97"/>
    </row>
    <row r="267" spans="1:9" s="34" customFormat="1" ht="17.25" x14ac:dyDescent="0.35">
      <c r="A267" s="107"/>
      <c r="B267" s="108"/>
      <c r="C267" s="108"/>
      <c r="D267" s="108" t="s">
        <v>261</v>
      </c>
      <c r="E267" s="108">
        <v>1</v>
      </c>
      <c r="F267" s="113">
        <v>30</v>
      </c>
      <c r="G267" s="113"/>
      <c r="H267" s="114"/>
      <c r="I267" s="97"/>
    </row>
    <row r="268" spans="1:9" s="34" customFormat="1" ht="17.25" x14ac:dyDescent="0.35">
      <c r="A268" s="107"/>
      <c r="B268" s="108"/>
      <c r="C268" s="108"/>
      <c r="D268" s="108" t="s">
        <v>261</v>
      </c>
      <c r="E268" s="108">
        <v>4</v>
      </c>
      <c r="F268" s="113" t="s">
        <v>287</v>
      </c>
      <c r="G268" s="113"/>
      <c r="H268" s="114"/>
      <c r="I268" s="97"/>
    </row>
    <row r="269" spans="1:9" s="34" customFormat="1" ht="17.25" x14ac:dyDescent="0.35">
      <c r="A269" s="107" t="s">
        <v>379</v>
      </c>
      <c r="B269" s="108" t="s">
        <v>380</v>
      </c>
      <c r="C269" s="108" t="s">
        <v>292</v>
      </c>
      <c r="D269" s="108"/>
      <c r="E269" s="108"/>
      <c r="F269" s="113"/>
      <c r="G269" s="113" t="s">
        <v>274</v>
      </c>
      <c r="H269" s="114"/>
      <c r="I269" s="97">
        <v>66043</v>
      </c>
    </row>
    <row r="270" spans="1:9" s="34" customFormat="1" ht="17.25" x14ac:dyDescent="0.35">
      <c r="A270" s="107"/>
      <c r="B270" s="108"/>
      <c r="C270" s="108"/>
      <c r="D270" s="108" t="s">
        <v>261</v>
      </c>
      <c r="E270" s="108">
        <v>1</v>
      </c>
      <c r="F270" s="113">
        <v>0</v>
      </c>
      <c r="G270" s="113"/>
      <c r="H270" s="114"/>
      <c r="I270" s="97"/>
    </row>
    <row r="271" spans="1:9" s="34" customFormat="1" ht="17.25" x14ac:dyDescent="0.35">
      <c r="A271" s="107"/>
      <c r="B271" s="108"/>
      <c r="C271" s="108"/>
      <c r="D271" s="108" t="s">
        <v>261</v>
      </c>
      <c r="E271" s="108">
        <v>1</v>
      </c>
      <c r="F271" s="113">
        <v>-100</v>
      </c>
      <c r="G271" s="113"/>
      <c r="H271" s="114"/>
      <c r="I271" s="97"/>
    </row>
    <row r="272" spans="1:9" s="34" customFormat="1" ht="17.25" x14ac:dyDescent="0.35">
      <c r="A272" s="107"/>
      <c r="B272" s="108"/>
      <c r="C272" s="108"/>
      <c r="D272" s="108" t="s">
        <v>261</v>
      </c>
      <c r="E272" s="108">
        <v>2</v>
      </c>
      <c r="F272" s="113">
        <v>-128</v>
      </c>
      <c r="G272" s="113"/>
      <c r="H272" s="114"/>
      <c r="I272" s="97"/>
    </row>
    <row r="273" spans="1:9" s="34" customFormat="1" ht="17.25" x14ac:dyDescent="0.35">
      <c r="A273" s="107"/>
      <c r="B273" s="108"/>
      <c r="C273" s="108"/>
      <c r="D273" s="108" t="s">
        <v>261</v>
      </c>
      <c r="E273" s="108">
        <v>1</v>
      </c>
      <c r="F273" s="113">
        <v>-95</v>
      </c>
      <c r="G273" s="113"/>
      <c r="H273" s="114"/>
      <c r="I273" s="97"/>
    </row>
    <row r="274" spans="1:9" s="34" customFormat="1" ht="17.25" x14ac:dyDescent="0.35">
      <c r="A274" s="107"/>
      <c r="B274" s="108"/>
      <c r="C274" s="108"/>
      <c r="D274" s="108" t="s">
        <v>261</v>
      </c>
      <c r="E274" s="108">
        <v>2</v>
      </c>
      <c r="F274" s="113">
        <v>-120</v>
      </c>
      <c r="G274" s="113"/>
      <c r="H274" s="114"/>
      <c r="I274" s="97"/>
    </row>
    <row r="275" spans="1:9" s="34" customFormat="1" ht="17.25" x14ac:dyDescent="0.35">
      <c r="A275" s="107"/>
      <c r="B275" s="108"/>
      <c r="C275" s="108"/>
      <c r="D275" s="108" t="s">
        <v>261</v>
      </c>
      <c r="E275" s="108">
        <v>1</v>
      </c>
      <c r="F275" s="113">
        <v>0</v>
      </c>
      <c r="G275" s="113"/>
      <c r="H275" s="114"/>
      <c r="I275" s="97"/>
    </row>
    <row r="276" spans="1:9" s="34" customFormat="1" ht="17.25" x14ac:dyDescent="0.35">
      <c r="A276" s="107" t="s">
        <v>383</v>
      </c>
      <c r="B276" s="108" t="s">
        <v>382</v>
      </c>
      <c r="C276" s="108" t="s">
        <v>292</v>
      </c>
      <c r="D276" s="108"/>
      <c r="E276" s="108"/>
      <c r="F276" s="113"/>
      <c r="G276" s="113" t="s">
        <v>274</v>
      </c>
      <c r="H276" s="114"/>
      <c r="I276" s="97">
        <v>70354</v>
      </c>
    </row>
    <row r="277" spans="1:9" s="34" customFormat="1" ht="40.5" x14ac:dyDescent="0.35">
      <c r="A277" s="107"/>
      <c r="B277" s="108"/>
      <c r="C277" s="108"/>
      <c r="D277" s="108" t="s">
        <v>261</v>
      </c>
      <c r="E277" s="108">
        <v>1</v>
      </c>
      <c r="F277" s="113">
        <v>1</v>
      </c>
      <c r="G277" s="113"/>
      <c r="H277" s="114"/>
      <c r="I277" s="97" t="s">
        <v>517</v>
      </c>
    </row>
    <row r="278" spans="1:9" s="34" customFormat="1" ht="17.25" x14ac:dyDescent="0.35">
      <c r="A278" s="107" t="s">
        <v>384</v>
      </c>
      <c r="B278" s="108" t="s">
        <v>385</v>
      </c>
      <c r="C278" s="108" t="s">
        <v>292</v>
      </c>
      <c r="D278" s="108"/>
      <c r="E278" s="108"/>
      <c r="F278" s="113"/>
      <c r="G278" s="113" t="s">
        <v>274</v>
      </c>
      <c r="H278" s="114"/>
      <c r="I278" s="97">
        <v>70362</v>
      </c>
    </row>
    <row r="279" spans="1:9" s="34" customFormat="1" ht="40.5" x14ac:dyDescent="0.35">
      <c r="A279" s="107"/>
      <c r="B279" s="108"/>
      <c r="C279" s="108"/>
      <c r="D279" s="108" t="s">
        <v>261</v>
      </c>
      <c r="E279" s="108">
        <v>1</v>
      </c>
      <c r="F279" s="113">
        <v>1</v>
      </c>
      <c r="G279" s="113"/>
      <c r="H279" s="114"/>
      <c r="I279" s="97" t="s">
        <v>518</v>
      </c>
    </row>
    <row r="280" spans="1:9" s="34" customFormat="1" ht="30.75" x14ac:dyDescent="0.35">
      <c r="A280" s="107" t="s">
        <v>408</v>
      </c>
      <c r="B280" s="108" t="s">
        <v>409</v>
      </c>
      <c r="C280" s="108" t="s">
        <v>263</v>
      </c>
      <c r="D280" s="108"/>
      <c r="E280" s="108"/>
      <c r="F280" s="113"/>
      <c r="G280" s="113" t="s">
        <v>274</v>
      </c>
      <c r="H280" s="114" t="s">
        <v>625</v>
      </c>
      <c r="I280" s="97" t="s">
        <v>626</v>
      </c>
    </row>
    <row r="281" spans="1:9" s="34" customFormat="1" ht="34.5" x14ac:dyDescent="0.35">
      <c r="A281" s="107" t="s">
        <v>410</v>
      </c>
      <c r="B281" s="108" t="s">
        <v>411</v>
      </c>
      <c r="C281" s="108" t="s">
        <v>292</v>
      </c>
      <c r="D281" s="108"/>
      <c r="E281" s="108"/>
      <c r="F281" s="113"/>
      <c r="G281" s="113" t="s">
        <v>274</v>
      </c>
      <c r="H281" s="114"/>
      <c r="I281" s="97"/>
    </row>
    <row r="282" spans="1:9" s="34" customFormat="1" ht="17.25" x14ac:dyDescent="0.35">
      <c r="A282" s="107"/>
      <c r="B282" s="108"/>
      <c r="C282" s="108"/>
      <c r="D282" s="108" t="s">
        <v>261</v>
      </c>
      <c r="E282" s="108">
        <v>1</v>
      </c>
      <c r="F282" s="113">
        <v>1</v>
      </c>
      <c r="G282" s="113"/>
      <c r="H282" s="114"/>
      <c r="I282" s="97" t="s">
        <v>423</v>
      </c>
    </row>
    <row r="283" spans="1:9" s="34" customFormat="1" ht="17.25" x14ac:dyDescent="0.35">
      <c r="A283" s="107" t="s">
        <v>450</v>
      </c>
      <c r="B283" s="108" t="s">
        <v>372</v>
      </c>
      <c r="C283" s="108" t="s">
        <v>292</v>
      </c>
      <c r="D283" s="108"/>
      <c r="E283" s="108"/>
      <c r="F283" s="113"/>
      <c r="G283" s="113" t="s">
        <v>274</v>
      </c>
      <c r="H283" s="114"/>
      <c r="I283" s="97">
        <v>67290</v>
      </c>
    </row>
    <row r="284" spans="1:9" s="34" customFormat="1" ht="17.25" x14ac:dyDescent="0.35">
      <c r="A284" s="107"/>
      <c r="B284" s="108"/>
      <c r="C284" s="108"/>
      <c r="D284" s="108" t="s">
        <v>261</v>
      </c>
      <c r="E284" s="108">
        <v>1</v>
      </c>
      <c r="F284" s="113">
        <v>1</v>
      </c>
      <c r="G284" s="113"/>
      <c r="H284" s="114"/>
      <c r="I284" s="97" t="s">
        <v>451</v>
      </c>
    </row>
    <row r="285" spans="1:9" s="34" customFormat="1" ht="17.25" x14ac:dyDescent="0.35">
      <c r="A285" s="107" t="s">
        <v>446</v>
      </c>
      <c r="B285" s="108" t="s">
        <v>370</v>
      </c>
      <c r="C285" s="108" t="s">
        <v>292</v>
      </c>
      <c r="D285" s="108"/>
      <c r="E285" s="108"/>
      <c r="F285" s="113"/>
      <c r="G285" s="113" t="s">
        <v>274</v>
      </c>
      <c r="H285" s="114"/>
      <c r="I285" s="97">
        <v>67288</v>
      </c>
    </row>
    <row r="286" spans="1:9" s="34" customFormat="1" ht="17.25" x14ac:dyDescent="0.35">
      <c r="A286" s="107"/>
      <c r="B286" s="108"/>
      <c r="C286" s="108"/>
      <c r="D286" s="108" t="s">
        <v>261</v>
      </c>
      <c r="E286" s="108">
        <v>2</v>
      </c>
      <c r="F286" s="113">
        <v>-98</v>
      </c>
      <c r="G286" s="113"/>
      <c r="H286" s="114"/>
      <c r="I286" s="97" t="s">
        <v>447</v>
      </c>
    </row>
    <row r="287" spans="1:9" s="34" customFormat="1" ht="17.25" x14ac:dyDescent="0.35">
      <c r="A287" s="107" t="s">
        <v>448</v>
      </c>
      <c r="B287" s="108" t="s">
        <v>371</v>
      </c>
      <c r="C287" s="108" t="s">
        <v>292</v>
      </c>
      <c r="D287" s="108"/>
      <c r="E287" s="108"/>
      <c r="F287" s="113"/>
      <c r="G287" s="113" t="s">
        <v>274</v>
      </c>
      <c r="H287" s="114"/>
      <c r="I287" s="97">
        <v>67289</v>
      </c>
    </row>
    <row r="288" spans="1:9" s="34" customFormat="1" ht="17.25" x14ac:dyDescent="0.35">
      <c r="A288" s="107"/>
      <c r="B288" s="108"/>
      <c r="C288" s="108"/>
      <c r="D288" s="108" t="s">
        <v>261</v>
      </c>
      <c r="E288" s="108">
        <v>2</v>
      </c>
      <c r="F288" s="113">
        <v>-105</v>
      </c>
      <c r="G288" s="113"/>
      <c r="H288" s="114"/>
      <c r="I288" s="97" t="s">
        <v>449</v>
      </c>
    </row>
    <row r="289" spans="1:9" s="34" customFormat="1" ht="17.25" x14ac:dyDescent="0.35">
      <c r="A289" s="107" t="s">
        <v>478</v>
      </c>
      <c r="B289" s="108" t="s">
        <v>479</v>
      </c>
      <c r="C289" s="108" t="s">
        <v>292</v>
      </c>
      <c r="D289" s="108"/>
      <c r="E289" s="108"/>
      <c r="F289" s="113"/>
      <c r="G289" s="113" t="s">
        <v>274</v>
      </c>
      <c r="H289" s="114"/>
      <c r="I289" s="97">
        <v>67213</v>
      </c>
    </row>
    <row r="290" spans="1:9" s="34" customFormat="1" ht="17.25" x14ac:dyDescent="0.35">
      <c r="A290" s="107"/>
      <c r="B290" s="108"/>
      <c r="C290" s="108"/>
      <c r="D290" s="108" t="s">
        <v>261</v>
      </c>
      <c r="E290" s="108">
        <v>1</v>
      </c>
      <c r="F290" s="113">
        <v>1</v>
      </c>
      <c r="G290" s="113"/>
      <c r="H290" s="114"/>
      <c r="I290" s="97"/>
    </row>
    <row r="291" spans="1:9" s="34" customFormat="1" ht="17.25" x14ac:dyDescent="0.35">
      <c r="A291" s="107" t="s">
        <v>480</v>
      </c>
      <c r="B291" s="108" t="s">
        <v>481</v>
      </c>
      <c r="C291" s="108" t="s">
        <v>292</v>
      </c>
      <c r="D291" s="108"/>
      <c r="E291" s="108"/>
      <c r="F291" s="113"/>
      <c r="G291" s="113" t="s">
        <v>274</v>
      </c>
      <c r="H291" s="114"/>
      <c r="I291" s="97">
        <v>67267</v>
      </c>
    </row>
    <row r="292" spans="1:9" s="34" customFormat="1" ht="17.25" x14ac:dyDescent="0.35">
      <c r="A292" s="107"/>
      <c r="B292" s="108"/>
      <c r="C292" s="108"/>
      <c r="D292" s="108" t="s">
        <v>261</v>
      </c>
      <c r="E292" s="108">
        <v>4</v>
      </c>
      <c r="F292" s="113">
        <v>90</v>
      </c>
      <c r="G292" s="113"/>
      <c r="H292" s="114"/>
      <c r="I292" s="97" t="s">
        <v>515</v>
      </c>
    </row>
    <row r="293" spans="1:9" s="34" customFormat="1" ht="34.5" x14ac:dyDescent="0.35">
      <c r="A293" s="107" t="s">
        <v>482</v>
      </c>
      <c r="B293" s="108" t="s">
        <v>483</v>
      </c>
      <c r="C293" s="108" t="s">
        <v>292</v>
      </c>
      <c r="D293" s="108"/>
      <c r="E293" s="108"/>
      <c r="F293" s="113"/>
      <c r="G293" s="113" t="s">
        <v>274</v>
      </c>
      <c r="H293" s="114"/>
      <c r="I293" s="97">
        <v>67268</v>
      </c>
    </row>
    <row r="294" spans="1:9" s="34" customFormat="1" ht="17.25" x14ac:dyDescent="0.35">
      <c r="A294" s="107"/>
      <c r="B294" s="108"/>
      <c r="C294" s="108"/>
      <c r="D294" s="108" t="s">
        <v>261</v>
      </c>
      <c r="E294" s="108">
        <v>1</v>
      </c>
      <c r="F294" s="113">
        <v>8</v>
      </c>
      <c r="G294" s="113"/>
      <c r="H294" s="114"/>
      <c r="I294" s="97" t="s">
        <v>514</v>
      </c>
    </row>
    <row r="295" spans="1:9" s="34" customFormat="1" ht="34.5" x14ac:dyDescent="0.35">
      <c r="A295" s="107" t="s">
        <v>484</v>
      </c>
      <c r="B295" s="108" t="s">
        <v>485</v>
      </c>
      <c r="C295" s="108" t="s">
        <v>292</v>
      </c>
      <c r="D295" s="108"/>
      <c r="E295" s="108"/>
      <c r="F295" s="113"/>
      <c r="G295" s="113" t="s">
        <v>274</v>
      </c>
      <c r="H295" s="114"/>
      <c r="I295" s="97">
        <v>67266</v>
      </c>
    </row>
    <row r="296" spans="1:9" s="34" customFormat="1" ht="17.25" x14ac:dyDescent="0.35">
      <c r="A296" s="107"/>
      <c r="B296" s="108"/>
      <c r="C296" s="108"/>
      <c r="D296" s="108" t="s">
        <v>261</v>
      </c>
      <c r="E296" s="108">
        <v>2</v>
      </c>
      <c r="F296" s="113">
        <v>5000</v>
      </c>
      <c r="G296" s="113"/>
      <c r="H296" s="114"/>
      <c r="I296" s="97" t="s">
        <v>549</v>
      </c>
    </row>
    <row r="297" spans="1:9" s="34" customFormat="1" ht="17.25" x14ac:dyDescent="0.35">
      <c r="A297" s="107" t="s">
        <v>387</v>
      </c>
      <c r="B297" s="108" t="s">
        <v>376</v>
      </c>
      <c r="C297" s="108" t="s">
        <v>292</v>
      </c>
      <c r="D297" s="108"/>
      <c r="E297" s="108"/>
      <c r="F297" s="113"/>
      <c r="G297" s="113" t="s">
        <v>274</v>
      </c>
      <c r="H297" s="114"/>
      <c r="I297" s="97">
        <v>66048</v>
      </c>
    </row>
    <row r="298" spans="1:9" s="34" customFormat="1" ht="66" x14ac:dyDescent="0.35">
      <c r="A298" s="107" t="s">
        <v>386</v>
      </c>
      <c r="B298" s="108" t="s">
        <v>386</v>
      </c>
      <c r="C298" s="108"/>
      <c r="D298" s="108" t="s">
        <v>261</v>
      </c>
      <c r="E298" s="108">
        <v>1</v>
      </c>
      <c r="F298" s="113">
        <v>0</v>
      </c>
      <c r="G298" s="113"/>
      <c r="H298" s="114"/>
      <c r="I298" s="97" t="s">
        <v>513</v>
      </c>
    </row>
    <row r="299" spans="1:9" s="34" customFormat="1" ht="17.25" x14ac:dyDescent="0.35">
      <c r="A299" s="107" t="s">
        <v>347</v>
      </c>
      <c r="B299" s="108" t="s">
        <v>395</v>
      </c>
      <c r="C299" s="108" t="s">
        <v>292</v>
      </c>
      <c r="D299" s="108"/>
      <c r="E299" s="108"/>
      <c r="F299" s="113"/>
      <c r="G299" s="113" t="s">
        <v>274</v>
      </c>
      <c r="H299" s="114"/>
      <c r="I299" s="97"/>
    </row>
    <row r="300" spans="1:9" s="34" customFormat="1" ht="27.75" x14ac:dyDescent="0.35">
      <c r="A300" s="107"/>
      <c r="B300" s="108"/>
      <c r="C300" s="108"/>
      <c r="D300" s="108" t="s">
        <v>261</v>
      </c>
      <c r="E300" s="108">
        <v>4</v>
      </c>
      <c r="F300" s="113">
        <v>3600</v>
      </c>
      <c r="G300" s="113"/>
      <c r="H300" s="114"/>
      <c r="I300" s="97" t="s">
        <v>348</v>
      </c>
    </row>
    <row r="301" spans="1:9" s="34" customFormat="1" ht="17.25" x14ac:dyDescent="0.35">
      <c r="A301" s="107" t="s">
        <v>374</v>
      </c>
      <c r="B301" s="108" t="s">
        <v>375</v>
      </c>
      <c r="C301" s="108" t="s">
        <v>292</v>
      </c>
      <c r="D301" s="108"/>
      <c r="E301" s="108"/>
      <c r="F301" s="113"/>
      <c r="G301" s="113" t="s">
        <v>274</v>
      </c>
      <c r="H301" s="114"/>
      <c r="I301" s="97">
        <v>66472</v>
      </c>
    </row>
    <row r="302" spans="1:9" s="34" customFormat="1" ht="40.5" x14ac:dyDescent="0.35">
      <c r="A302" s="107" t="s">
        <v>386</v>
      </c>
      <c r="B302" s="108" t="s">
        <v>386</v>
      </c>
      <c r="C302" s="108"/>
      <c r="D302" s="108" t="s">
        <v>261</v>
      </c>
      <c r="E302" s="108">
        <v>1</v>
      </c>
      <c r="F302" s="113">
        <v>0</v>
      </c>
      <c r="G302" s="113"/>
      <c r="H302" s="114"/>
      <c r="I302" s="97" t="s">
        <v>521</v>
      </c>
    </row>
    <row r="303" spans="1:9" s="34" customFormat="1" ht="142.5" x14ac:dyDescent="0.35">
      <c r="A303" s="107" t="s">
        <v>389</v>
      </c>
      <c r="B303" s="108" t="s">
        <v>390</v>
      </c>
      <c r="C303" s="108" t="s">
        <v>263</v>
      </c>
      <c r="D303" s="108"/>
      <c r="E303" s="108"/>
      <c r="F303" s="113"/>
      <c r="G303" s="113" t="s">
        <v>274</v>
      </c>
      <c r="H303" s="114" t="s">
        <v>511</v>
      </c>
      <c r="I303" s="97" t="s">
        <v>512</v>
      </c>
    </row>
    <row r="304" spans="1:9" s="34" customFormat="1" ht="17.25" x14ac:dyDescent="0.35">
      <c r="A304" s="107" t="s">
        <v>540</v>
      </c>
      <c r="B304" s="108" t="s">
        <v>539</v>
      </c>
      <c r="C304" s="108" t="s">
        <v>292</v>
      </c>
      <c r="D304" s="108"/>
      <c r="E304" s="108"/>
      <c r="F304" s="113"/>
      <c r="G304" s="113" t="s">
        <v>274</v>
      </c>
      <c r="H304" s="114"/>
      <c r="I304" s="97">
        <v>72590</v>
      </c>
    </row>
    <row r="305" spans="1:11" s="34" customFormat="1" ht="17.25" x14ac:dyDescent="0.35">
      <c r="A305" s="107"/>
      <c r="B305" s="108"/>
      <c r="C305" s="108"/>
      <c r="D305" s="108" t="s">
        <v>261</v>
      </c>
      <c r="E305" s="108">
        <v>1</v>
      </c>
      <c r="F305" s="113">
        <v>1</v>
      </c>
      <c r="G305" s="113"/>
      <c r="H305" s="114"/>
      <c r="I305" s="97"/>
    </row>
    <row r="306" spans="1:11" s="34" customFormat="1" ht="17.25" x14ac:dyDescent="0.35">
      <c r="A306" s="107"/>
      <c r="B306" s="108"/>
      <c r="C306" s="108"/>
      <c r="D306" s="108" t="s">
        <v>261</v>
      </c>
      <c r="E306" s="108">
        <v>4</v>
      </c>
      <c r="F306" s="113">
        <v>1000</v>
      </c>
      <c r="G306" s="113"/>
      <c r="H306" s="114"/>
      <c r="I306" s="97" t="s">
        <v>562</v>
      </c>
    </row>
    <row r="307" spans="1:11" s="17" customFormat="1" ht="17.25" x14ac:dyDescent="0.35">
      <c r="A307" s="107" t="s">
        <v>1236</v>
      </c>
      <c r="B307" s="113" t="s">
        <v>1237</v>
      </c>
      <c r="C307" s="113" t="s">
        <v>263</v>
      </c>
      <c r="D307" s="113"/>
      <c r="E307" s="113"/>
      <c r="F307" s="113"/>
      <c r="G307" s="113" t="s">
        <v>432</v>
      </c>
      <c r="H307" s="114" t="s">
        <v>1296</v>
      </c>
      <c r="I307" s="97" t="s">
        <v>723</v>
      </c>
      <c r="J307" s="34"/>
      <c r="K307" s="34"/>
    </row>
    <row r="308" spans="1:11" s="17" customFormat="1" ht="17.25" x14ac:dyDescent="0.35">
      <c r="A308" s="107" t="s">
        <v>1316</v>
      </c>
      <c r="B308" s="113" t="s">
        <v>1317</v>
      </c>
      <c r="C308" s="113" t="s">
        <v>263</v>
      </c>
      <c r="D308" s="113"/>
      <c r="E308" s="113"/>
      <c r="F308" s="113"/>
      <c r="G308" s="113" t="s">
        <v>432</v>
      </c>
      <c r="H308" s="114" t="s">
        <v>1318</v>
      </c>
      <c r="I308" s="97" t="s">
        <v>1319</v>
      </c>
      <c r="J308" s="34"/>
      <c r="K308" s="34"/>
    </row>
    <row r="309" spans="1:11" s="34" customFormat="1" ht="17.25" x14ac:dyDescent="0.35">
      <c r="A309" s="107" t="s">
        <v>1238</v>
      </c>
      <c r="B309" s="113" t="s">
        <v>785</v>
      </c>
      <c r="C309" s="113" t="s">
        <v>263</v>
      </c>
      <c r="D309" s="113"/>
      <c r="E309" s="113"/>
      <c r="F309" s="113"/>
      <c r="G309" s="113" t="s">
        <v>432</v>
      </c>
      <c r="H309" s="114" t="s">
        <v>1297</v>
      </c>
      <c r="I309" s="97" t="s">
        <v>1242</v>
      </c>
    </row>
    <row r="310" spans="1:11" s="34" customFormat="1" ht="17.25" x14ac:dyDescent="0.35">
      <c r="A310" s="107" t="s">
        <v>1239</v>
      </c>
      <c r="B310" s="113" t="s">
        <v>1240</v>
      </c>
      <c r="C310" s="113" t="s">
        <v>263</v>
      </c>
      <c r="D310" s="113"/>
      <c r="E310" s="113"/>
      <c r="F310" s="113"/>
      <c r="G310" s="113" t="s">
        <v>432</v>
      </c>
      <c r="H310" s="114" t="s">
        <v>1298</v>
      </c>
      <c r="I310" s="97" t="s">
        <v>1241</v>
      </c>
    </row>
    <row r="311" spans="1:11" s="34" customFormat="1" ht="17.25" x14ac:dyDescent="0.35">
      <c r="A311" s="107" t="s">
        <v>1290</v>
      </c>
      <c r="B311" s="113" t="s">
        <v>1292</v>
      </c>
      <c r="C311" s="113" t="s">
        <v>263</v>
      </c>
      <c r="D311" s="113"/>
      <c r="E311" s="113"/>
      <c r="F311" s="113"/>
      <c r="G311" s="113" t="s">
        <v>432</v>
      </c>
      <c r="H311" s="114" t="s">
        <v>1299</v>
      </c>
      <c r="I311" s="97" t="s">
        <v>1294</v>
      </c>
    </row>
    <row r="312" spans="1:11" s="34" customFormat="1" ht="17.25" x14ac:dyDescent="0.35">
      <c r="A312" s="107" t="s">
        <v>1291</v>
      </c>
      <c r="B312" s="113" t="s">
        <v>1293</v>
      </c>
      <c r="C312" s="113" t="s">
        <v>263</v>
      </c>
      <c r="D312" s="113"/>
      <c r="E312" s="113"/>
      <c r="F312" s="113"/>
      <c r="G312" s="113" t="s">
        <v>432</v>
      </c>
      <c r="H312" s="114" t="s">
        <v>1300</v>
      </c>
      <c r="I312" s="97" t="s">
        <v>1295</v>
      </c>
    </row>
    <row r="313" spans="1:11" s="34" customFormat="1" ht="17.25" x14ac:dyDescent="0.35">
      <c r="A313" s="107" t="s">
        <v>1301</v>
      </c>
      <c r="B313" s="113" t="s">
        <v>1303</v>
      </c>
      <c r="C313" s="113" t="s">
        <v>263</v>
      </c>
      <c r="D313" s="113"/>
      <c r="E313" s="113"/>
      <c r="F313" s="113"/>
      <c r="G313" s="113" t="s">
        <v>432</v>
      </c>
      <c r="H313" s="114" t="s">
        <v>1302</v>
      </c>
      <c r="I313" s="97"/>
    </row>
    <row r="314" spans="1:11" s="34" customFormat="1" ht="17.25" x14ac:dyDescent="0.35">
      <c r="A314" s="107" t="s">
        <v>1307</v>
      </c>
      <c r="B314" s="113" t="s">
        <v>1308</v>
      </c>
      <c r="C314" s="113" t="s">
        <v>263</v>
      </c>
      <c r="D314" s="113"/>
      <c r="E314" s="113"/>
      <c r="F314" s="113"/>
      <c r="G314" s="113" t="s">
        <v>432</v>
      </c>
      <c r="H314" s="114" t="s">
        <v>1309</v>
      </c>
      <c r="I314" s="97"/>
    </row>
    <row r="315" spans="1:11" s="34" customFormat="1" ht="17.25" x14ac:dyDescent="0.35">
      <c r="A315" s="107" t="s">
        <v>1304</v>
      </c>
      <c r="B315" s="113" t="s">
        <v>1306</v>
      </c>
      <c r="C315" s="113" t="s">
        <v>263</v>
      </c>
      <c r="D315" s="113"/>
      <c r="E315" s="113"/>
      <c r="F315" s="113"/>
      <c r="G315" s="113" t="s">
        <v>432</v>
      </c>
      <c r="H315" s="114" t="s">
        <v>1305</v>
      </c>
      <c r="I315" s="97"/>
    </row>
    <row r="316" spans="1:11" s="34" customFormat="1" ht="17.25" x14ac:dyDescent="0.35">
      <c r="A316" s="107" t="s">
        <v>1315</v>
      </c>
      <c r="B316" s="113" t="s">
        <v>1310</v>
      </c>
      <c r="C316" s="113" t="s">
        <v>263</v>
      </c>
      <c r="D316" s="113"/>
      <c r="E316" s="113"/>
      <c r="F316" s="113"/>
      <c r="G316" s="113" t="s">
        <v>432</v>
      </c>
      <c r="H316" s="114" t="s">
        <v>1311</v>
      </c>
      <c r="I316" s="97"/>
    </row>
    <row r="317" spans="1:11" s="34" customFormat="1" ht="17.25" x14ac:dyDescent="0.35">
      <c r="A317" s="107" t="s">
        <v>1314</v>
      </c>
      <c r="B317" s="113" t="s">
        <v>1313</v>
      </c>
      <c r="C317" s="113" t="s">
        <v>263</v>
      </c>
      <c r="D317" s="113"/>
      <c r="E317" s="113"/>
      <c r="F317" s="113"/>
      <c r="G317" s="113" t="s">
        <v>432</v>
      </c>
      <c r="H317" s="114" t="s">
        <v>1312</v>
      </c>
      <c r="I317" s="97"/>
    </row>
    <row r="318" spans="1:11" s="34" customFormat="1" ht="17.25" x14ac:dyDescent="0.35">
      <c r="A318" s="107"/>
      <c r="B318" s="113"/>
      <c r="C318" s="113"/>
      <c r="D318" s="113"/>
      <c r="E318" s="113"/>
      <c r="F318" s="113"/>
      <c r="G318" s="113"/>
      <c r="H318" s="114"/>
      <c r="I318" s="97"/>
    </row>
    <row r="319" spans="1:11" s="34" customFormat="1" ht="17.25" x14ac:dyDescent="0.35">
      <c r="A319" s="107" t="s">
        <v>293</v>
      </c>
      <c r="B319" s="108" t="s">
        <v>308</v>
      </c>
      <c r="C319" s="108" t="s">
        <v>292</v>
      </c>
      <c r="D319" s="108"/>
      <c r="E319" s="108"/>
      <c r="F319" s="113"/>
      <c r="G319" s="113" t="s">
        <v>274</v>
      </c>
      <c r="H319" s="114"/>
      <c r="I319" s="97">
        <v>65883</v>
      </c>
    </row>
    <row r="320" spans="1:11" s="34" customFormat="1" ht="17.25" x14ac:dyDescent="0.35">
      <c r="A320" s="107"/>
      <c r="B320" s="108"/>
      <c r="C320" s="108"/>
      <c r="D320" s="108" t="s">
        <v>261</v>
      </c>
      <c r="E320" s="108">
        <v>2</v>
      </c>
      <c r="F320" s="113" t="s">
        <v>459</v>
      </c>
      <c r="G320" s="113"/>
      <c r="H320" s="114"/>
      <c r="I320" s="97"/>
    </row>
    <row r="321" spans="1:11" s="17" customFormat="1" ht="34.5" x14ac:dyDescent="0.35">
      <c r="A321" s="108" t="s">
        <v>1288</v>
      </c>
      <c r="B321" s="108" t="s">
        <v>1289</v>
      </c>
      <c r="C321" s="108" t="s">
        <v>292</v>
      </c>
      <c r="D321" s="113"/>
      <c r="E321" s="113"/>
      <c r="F321" s="113"/>
      <c r="G321" s="113" t="s">
        <v>274</v>
      </c>
      <c r="H321" s="114"/>
      <c r="I321" s="97">
        <v>73616</v>
      </c>
      <c r="J321" s="34"/>
      <c r="K321" s="34"/>
    </row>
    <row r="322" spans="1:11" s="34" customFormat="1" ht="17.25" x14ac:dyDescent="0.35">
      <c r="A322" s="107"/>
      <c r="B322" s="108"/>
      <c r="C322" s="108"/>
      <c r="D322" s="108" t="s">
        <v>261</v>
      </c>
      <c r="E322" s="108">
        <v>1</v>
      </c>
      <c r="F322" s="113">
        <v>1</v>
      </c>
      <c r="G322" s="113"/>
      <c r="H322" s="114"/>
      <c r="I322" s="97"/>
    </row>
    <row r="323" spans="1:11" s="17" customFormat="1" ht="17.25" x14ac:dyDescent="0.35">
      <c r="A323" s="108" t="s">
        <v>1286</v>
      </c>
      <c r="B323" s="108" t="s">
        <v>1287</v>
      </c>
      <c r="C323" s="108" t="s">
        <v>292</v>
      </c>
      <c r="D323" s="113"/>
      <c r="E323" s="113"/>
      <c r="F323" s="113"/>
      <c r="G323" s="113" t="s">
        <v>274</v>
      </c>
      <c r="H323" s="114"/>
      <c r="I323" s="97">
        <v>70315</v>
      </c>
      <c r="J323" s="34"/>
      <c r="K323" s="34"/>
    </row>
    <row r="324" spans="1:11" s="34" customFormat="1" ht="17.25" x14ac:dyDescent="0.35">
      <c r="A324" s="107"/>
      <c r="B324" s="108"/>
      <c r="C324" s="108"/>
      <c r="D324" s="108" t="s">
        <v>261</v>
      </c>
      <c r="E324" s="108">
        <v>1</v>
      </c>
      <c r="F324" s="113">
        <v>2</v>
      </c>
      <c r="G324" s="113"/>
      <c r="H324" s="114"/>
      <c r="I324" s="97"/>
    </row>
    <row r="325" spans="1:11" s="17" customFormat="1" ht="17.25" x14ac:dyDescent="0.35">
      <c r="A325" s="107" t="s">
        <v>773</v>
      </c>
      <c r="B325" s="108" t="s">
        <v>774</v>
      </c>
      <c r="C325" s="108" t="s">
        <v>292</v>
      </c>
      <c r="D325" s="113"/>
      <c r="E325" s="113"/>
      <c r="F325" s="113"/>
      <c r="G325" s="113" t="s">
        <v>274</v>
      </c>
      <c r="H325" s="114"/>
      <c r="I325" s="97">
        <v>73561</v>
      </c>
      <c r="J325" s="34"/>
      <c r="K325" s="34"/>
    </row>
    <row r="326" spans="1:11" s="34" customFormat="1" ht="17.25" x14ac:dyDescent="0.35">
      <c r="A326" s="107"/>
      <c r="B326" s="108"/>
      <c r="C326" s="108"/>
      <c r="D326" s="108" t="s">
        <v>261</v>
      </c>
      <c r="E326" s="108">
        <v>1</v>
      </c>
      <c r="F326" s="113">
        <v>0</v>
      </c>
      <c r="G326" s="113"/>
      <c r="H326" s="114"/>
      <c r="I326" s="97"/>
    </row>
    <row r="327" spans="1:11" s="34" customFormat="1" ht="17.25" x14ac:dyDescent="0.35">
      <c r="A327" s="129" t="s">
        <v>789</v>
      </c>
      <c r="B327" s="130" t="s">
        <v>790</v>
      </c>
      <c r="C327" s="131" t="s">
        <v>292</v>
      </c>
      <c r="D327" s="132"/>
      <c r="E327" s="132"/>
      <c r="F327" s="132"/>
      <c r="G327" s="229" t="s">
        <v>432</v>
      </c>
      <c r="H327" s="133"/>
      <c r="I327" s="134">
        <v>65956</v>
      </c>
    </row>
    <row r="328" spans="1:11" s="34" customFormat="1" ht="17.25" x14ac:dyDescent="0.35">
      <c r="A328" s="135" t="s">
        <v>386</v>
      </c>
      <c r="B328" s="132" t="s">
        <v>386</v>
      </c>
      <c r="C328" s="131"/>
      <c r="D328" s="132" t="s">
        <v>261</v>
      </c>
      <c r="E328" s="132">
        <v>2</v>
      </c>
      <c r="F328" s="132">
        <v>0</v>
      </c>
      <c r="G328" s="131"/>
      <c r="H328" s="133"/>
      <c r="I328" s="134"/>
    </row>
    <row r="329" spans="1:11" s="34" customFormat="1" ht="17.25" x14ac:dyDescent="0.35">
      <c r="A329" s="129" t="s">
        <v>791</v>
      </c>
      <c r="B329" s="132" t="s">
        <v>792</v>
      </c>
      <c r="C329" s="131" t="s">
        <v>292</v>
      </c>
      <c r="D329" s="132"/>
      <c r="E329" s="132"/>
      <c r="F329" s="132"/>
      <c r="G329" s="229" t="s">
        <v>432</v>
      </c>
      <c r="H329" s="133"/>
      <c r="I329" s="134">
        <v>65961</v>
      </c>
    </row>
    <row r="330" spans="1:11" s="34" customFormat="1" ht="17.25" x14ac:dyDescent="0.35">
      <c r="A330" s="135" t="s">
        <v>386</v>
      </c>
      <c r="B330" s="132" t="s">
        <v>386</v>
      </c>
      <c r="C330" s="131"/>
      <c r="D330" s="132" t="s">
        <v>261</v>
      </c>
      <c r="E330" s="132">
        <v>1</v>
      </c>
      <c r="F330" s="132">
        <v>0</v>
      </c>
      <c r="G330" s="131"/>
      <c r="H330" s="133"/>
      <c r="I330" s="134"/>
    </row>
    <row r="331" spans="1:11" s="34" customFormat="1" ht="17.25" x14ac:dyDescent="0.35">
      <c r="A331" s="129" t="s">
        <v>793</v>
      </c>
      <c r="B331" s="136" t="s">
        <v>291</v>
      </c>
      <c r="C331" s="137" t="s">
        <v>292</v>
      </c>
      <c r="D331" s="136"/>
      <c r="E331" s="136"/>
      <c r="F331" s="136"/>
      <c r="G331" s="138" t="s">
        <v>432</v>
      </c>
      <c r="H331" s="138"/>
      <c r="I331" s="139">
        <v>67218</v>
      </c>
    </row>
    <row r="332" spans="1:11" s="34" customFormat="1" ht="17.25" x14ac:dyDescent="0.35">
      <c r="A332" s="140"/>
      <c r="B332" s="136"/>
      <c r="C332" s="137"/>
      <c r="D332" s="136" t="s">
        <v>261</v>
      </c>
      <c r="E332" s="136">
        <v>1</v>
      </c>
      <c r="F332" s="136">
        <v>1</v>
      </c>
      <c r="G332" s="137"/>
      <c r="H332" s="138"/>
      <c r="I332" s="139"/>
    </row>
    <row r="333" spans="1:11" s="34" customFormat="1" ht="17.25" x14ac:dyDescent="0.35">
      <c r="A333" s="129" t="s">
        <v>794</v>
      </c>
      <c r="B333" s="136" t="s">
        <v>795</v>
      </c>
      <c r="C333" s="137" t="s">
        <v>292</v>
      </c>
      <c r="D333" s="136"/>
      <c r="E333" s="136"/>
      <c r="F333" s="136"/>
      <c r="G333" s="138" t="s">
        <v>432</v>
      </c>
      <c r="H333" s="138"/>
      <c r="I333" s="139">
        <v>67261</v>
      </c>
    </row>
    <row r="334" spans="1:11" s="34" customFormat="1" ht="17.25" x14ac:dyDescent="0.35">
      <c r="A334" s="140"/>
      <c r="B334" s="136"/>
      <c r="C334" s="137"/>
      <c r="D334" s="136" t="s">
        <v>261</v>
      </c>
      <c r="E334" s="136">
        <v>2</v>
      </c>
      <c r="F334" s="136">
        <v>0</v>
      </c>
      <c r="G334" s="137"/>
      <c r="H334" s="138"/>
      <c r="I334" s="139" t="s">
        <v>796</v>
      </c>
    </row>
    <row r="335" spans="1:11" s="34" customFormat="1" ht="17.25" x14ac:dyDescent="0.35">
      <c r="A335" s="140"/>
      <c r="B335" s="136"/>
      <c r="C335" s="137"/>
      <c r="D335" s="136" t="s">
        <v>261</v>
      </c>
      <c r="E335" s="136">
        <v>2</v>
      </c>
      <c r="F335" s="136">
        <v>0</v>
      </c>
      <c r="G335" s="137"/>
      <c r="H335" s="138"/>
      <c r="I335" s="139" t="s">
        <v>797</v>
      </c>
    </row>
    <row r="336" spans="1:11" s="34" customFormat="1" ht="17.25" x14ac:dyDescent="0.35">
      <c r="A336" s="140"/>
      <c r="B336" s="136"/>
      <c r="C336" s="137"/>
      <c r="D336" s="136" t="s">
        <v>261</v>
      </c>
      <c r="E336" s="136">
        <v>1</v>
      </c>
      <c r="F336" s="136">
        <v>0</v>
      </c>
      <c r="G336" s="137"/>
      <c r="H336" s="138"/>
      <c r="I336" s="139" t="s">
        <v>798</v>
      </c>
    </row>
    <row r="337" spans="1:9" ht="17.25" x14ac:dyDescent="0.35">
      <c r="A337" s="140"/>
      <c r="B337" s="136"/>
      <c r="C337" s="137"/>
      <c r="D337" s="136" t="s">
        <v>261</v>
      </c>
      <c r="E337" s="136">
        <v>1</v>
      </c>
      <c r="F337" s="136">
        <v>1</v>
      </c>
      <c r="G337" s="137"/>
      <c r="H337" s="138"/>
      <c r="I337" s="139" t="s">
        <v>799</v>
      </c>
    </row>
    <row r="338" spans="1:9" ht="17.25" x14ac:dyDescent="0.35">
      <c r="A338" s="140"/>
      <c r="B338" s="136"/>
      <c r="C338" s="137"/>
      <c r="D338" s="136" t="s">
        <v>261</v>
      </c>
      <c r="E338" s="136">
        <v>2</v>
      </c>
      <c r="F338" s="136">
        <v>0</v>
      </c>
      <c r="G338" s="137"/>
      <c r="H338" s="138"/>
      <c r="I338" s="139" t="s">
        <v>800</v>
      </c>
    </row>
    <row r="339" spans="1:9" ht="17.25" x14ac:dyDescent="0.35">
      <c r="A339" s="140"/>
      <c r="B339" s="136"/>
      <c r="C339" s="137"/>
      <c r="D339" s="136" t="s">
        <v>261</v>
      </c>
      <c r="E339" s="136">
        <v>4</v>
      </c>
      <c r="F339" s="136">
        <v>0</v>
      </c>
      <c r="G339" s="137"/>
      <c r="H339" s="138"/>
      <c r="I339" s="139" t="s">
        <v>801</v>
      </c>
    </row>
    <row r="340" spans="1:9" ht="17.25" x14ac:dyDescent="0.35">
      <c r="A340" s="140"/>
      <c r="B340" s="136"/>
      <c r="C340" s="137"/>
      <c r="D340" s="136" t="s">
        <v>261</v>
      </c>
      <c r="E340" s="136">
        <v>1</v>
      </c>
      <c r="F340" s="136">
        <v>0</v>
      </c>
      <c r="G340" s="137"/>
      <c r="H340" s="138"/>
      <c r="I340" s="139" t="s">
        <v>802</v>
      </c>
    </row>
    <row r="341" spans="1:9" ht="17.25" x14ac:dyDescent="0.35">
      <c r="A341" s="140"/>
      <c r="B341" s="136"/>
      <c r="C341" s="137"/>
      <c r="D341" s="136" t="s">
        <v>261</v>
      </c>
      <c r="E341" s="136">
        <v>1</v>
      </c>
      <c r="F341" s="136">
        <v>4</v>
      </c>
      <c r="G341" s="137"/>
      <c r="H341" s="138"/>
      <c r="I341" s="139" t="s">
        <v>803</v>
      </c>
    </row>
    <row r="342" spans="1:9" ht="17.25" x14ac:dyDescent="0.35">
      <c r="A342" s="129" t="s">
        <v>804</v>
      </c>
      <c r="B342" s="136" t="s">
        <v>805</v>
      </c>
      <c r="C342" s="137" t="s">
        <v>292</v>
      </c>
      <c r="D342" s="136"/>
      <c r="E342" s="136"/>
      <c r="F342" s="136"/>
      <c r="G342" s="138" t="s">
        <v>432</v>
      </c>
      <c r="H342" s="138"/>
      <c r="I342" s="139">
        <v>67264</v>
      </c>
    </row>
    <row r="343" spans="1:9" ht="17.25" x14ac:dyDescent="0.35">
      <c r="A343" s="140"/>
      <c r="B343" s="136"/>
      <c r="C343" s="137"/>
      <c r="D343" s="136" t="s">
        <v>261</v>
      </c>
      <c r="E343" s="136">
        <v>1</v>
      </c>
      <c r="F343" s="136">
        <v>1</v>
      </c>
      <c r="G343" s="137"/>
      <c r="H343" s="138"/>
      <c r="I343" s="139" t="s">
        <v>806</v>
      </c>
    </row>
    <row r="344" spans="1:9" ht="34.5" x14ac:dyDescent="0.35">
      <c r="A344" s="140"/>
      <c r="B344" s="136"/>
      <c r="C344" s="137"/>
      <c r="D344" s="136" t="s">
        <v>261</v>
      </c>
      <c r="E344" s="136">
        <v>1</v>
      </c>
      <c r="F344" s="136">
        <v>2</v>
      </c>
      <c r="G344" s="137"/>
      <c r="H344" s="138"/>
      <c r="I344" s="139" t="s">
        <v>807</v>
      </c>
    </row>
    <row r="345" spans="1:9" s="17" customFormat="1" ht="51.75" x14ac:dyDescent="0.35">
      <c r="A345" s="140"/>
      <c r="B345" s="136"/>
      <c r="C345" s="137"/>
      <c r="D345" s="136" t="s">
        <v>262</v>
      </c>
      <c r="E345" s="136">
        <v>32</v>
      </c>
      <c r="F345" s="136" t="s">
        <v>808</v>
      </c>
      <c r="G345" s="137"/>
      <c r="H345" s="138"/>
      <c r="I345" s="139" t="s">
        <v>809</v>
      </c>
    </row>
    <row r="346" spans="1:9" ht="17.25" x14ac:dyDescent="0.35">
      <c r="A346" s="140"/>
      <c r="B346" s="136"/>
      <c r="C346" s="137"/>
      <c r="D346" s="136" t="s">
        <v>261</v>
      </c>
      <c r="E346" s="136">
        <v>1</v>
      </c>
      <c r="F346" s="136">
        <v>1</v>
      </c>
      <c r="G346" s="137"/>
      <c r="H346" s="138"/>
      <c r="I346" s="139" t="s">
        <v>810</v>
      </c>
    </row>
    <row r="347" spans="1:9" ht="17.25" x14ac:dyDescent="0.35">
      <c r="A347" s="140"/>
      <c r="B347" s="136"/>
      <c r="C347" s="137"/>
      <c r="D347" s="136" t="s">
        <v>261</v>
      </c>
      <c r="E347" s="136">
        <v>1</v>
      </c>
      <c r="F347" s="136">
        <v>1</v>
      </c>
      <c r="G347" s="137"/>
      <c r="H347" s="138"/>
      <c r="I347" s="139" t="s">
        <v>811</v>
      </c>
    </row>
    <row r="348" spans="1:9" ht="17.25" x14ac:dyDescent="0.35">
      <c r="A348" s="140"/>
      <c r="B348" s="136"/>
      <c r="C348" s="137"/>
      <c r="D348" s="136" t="s">
        <v>261</v>
      </c>
      <c r="E348" s="136">
        <v>1</v>
      </c>
      <c r="F348" s="136">
        <v>0</v>
      </c>
      <c r="G348" s="137"/>
      <c r="H348" s="138"/>
      <c r="I348" s="139" t="s">
        <v>812</v>
      </c>
    </row>
    <row r="349" spans="1:9" ht="17.25" x14ac:dyDescent="0.35">
      <c r="A349" s="140"/>
      <c r="B349" s="136"/>
      <c r="C349" s="137"/>
      <c r="D349" s="136" t="s">
        <v>261</v>
      </c>
      <c r="E349" s="136">
        <v>1</v>
      </c>
      <c r="F349" s="136">
        <v>0</v>
      </c>
      <c r="G349" s="137"/>
      <c r="H349" s="138"/>
      <c r="I349" s="139" t="s">
        <v>813</v>
      </c>
    </row>
    <row r="350" spans="1:9" ht="17.25" x14ac:dyDescent="0.35">
      <c r="A350" s="140"/>
      <c r="B350" s="136"/>
      <c r="C350" s="137"/>
      <c r="D350" s="136" t="s">
        <v>262</v>
      </c>
      <c r="E350" s="136">
        <v>256</v>
      </c>
      <c r="F350" s="136"/>
      <c r="G350" s="137"/>
      <c r="H350" s="138"/>
      <c r="I350" s="139" t="s">
        <v>814</v>
      </c>
    </row>
    <row r="351" spans="1:9" ht="17.25" x14ac:dyDescent="0.35">
      <c r="A351" s="140"/>
      <c r="B351" s="136"/>
      <c r="C351" s="137"/>
      <c r="D351" s="136" t="s">
        <v>261</v>
      </c>
      <c r="E351" s="136">
        <v>1</v>
      </c>
      <c r="F351" s="136">
        <v>12</v>
      </c>
      <c r="G351" s="137"/>
      <c r="H351" s="138"/>
      <c r="I351" s="139" t="s">
        <v>815</v>
      </c>
    </row>
    <row r="352" spans="1:9" ht="17.25" x14ac:dyDescent="0.35">
      <c r="A352" s="140"/>
      <c r="B352" s="136"/>
      <c r="C352" s="137"/>
      <c r="D352" s="136" t="s">
        <v>261</v>
      </c>
      <c r="E352" s="136">
        <v>1</v>
      </c>
      <c r="F352" s="136">
        <v>0</v>
      </c>
      <c r="G352" s="137"/>
      <c r="H352" s="138"/>
      <c r="I352" s="139" t="s">
        <v>816</v>
      </c>
    </row>
    <row r="353" spans="1:9" ht="17.25" x14ac:dyDescent="0.35">
      <c r="A353" s="140"/>
      <c r="B353" s="136"/>
      <c r="C353" s="137"/>
      <c r="D353" s="136" t="s">
        <v>261</v>
      </c>
      <c r="E353" s="136">
        <v>1</v>
      </c>
      <c r="F353" s="136">
        <v>0</v>
      </c>
      <c r="G353" s="137"/>
      <c r="H353" s="138"/>
      <c r="I353" s="139" t="s">
        <v>817</v>
      </c>
    </row>
    <row r="354" spans="1:9" ht="17.25" x14ac:dyDescent="0.35">
      <c r="A354" s="140"/>
      <c r="B354" s="136"/>
      <c r="C354" s="137"/>
      <c r="D354" s="136" t="s">
        <v>261</v>
      </c>
      <c r="E354" s="136">
        <v>2</v>
      </c>
      <c r="F354" s="136">
        <v>0</v>
      </c>
      <c r="G354" s="137"/>
      <c r="H354" s="138"/>
      <c r="I354" s="139" t="s">
        <v>818</v>
      </c>
    </row>
    <row r="355" spans="1:9" ht="17.25" x14ac:dyDescent="0.35">
      <c r="A355" s="140"/>
      <c r="B355" s="136"/>
      <c r="C355" s="137"/>
      <c r="D355" s="136" t="s">
        <v>261</v>
      </c>
      <c r="E355" s="136">
        <v>1</v>
      </c>
      <c r="F355" s="136">
        <v>0</v>
      </c>
      <c r="G355" s="137"/>
      <c r="H355" s="138"/>
      <c r="I355" s="139" t="s">
        <v>819</v>
      </c>
    </row>
    <row r="356" spans="1:9" ht="17.25" x14ac:dyDescent="0.35">
      <c r="A356" s="140"/>
      <c r="B356" s="136"/>
      <c r="C356" s="137"/>
      <c r="D356" s="136" t="s">
        <v>261</v>
      </c>
      <c r="E356" s="136">
        <v>1</v>
      </c>
      <c r="F356" s="136">
        <v>0</v>
      </c>
      <c r="G356" s="137"/>
      <c r="H356" s="138"/>
      <c r="I356" s="139" t="s">
        <v>820</v>
      </c>
    </row>
    <row r="357" spans="1:9" ht="17.25" x14ac:dyDescent="0.35">
      <c r="A357" s="140"/>
      <c r="B357" s="136"/>
      <c r="C357" s="137"/>
      <c r="D357" s="136" t="s">
        <v>262</v>
      </c>
      <c r="E357" s="136">
        <v>32</v>
      </c>
      <c r="F357" s="136"/>
      <c r="G357" s="137"/>
      <c r="H357" s="138"/>
      <c r="I357" s="139" t="s">
        <v>821</v>
      </c>
    </row>
    <row r="358" spans="1:9" ht="17.25" x14ac:dyDescent="0.35">
      <c r="A358" s="140"/>
      <c r="B358" s="136"/>
      <c r="C358" s="137"/>
      <c r="D358" s="136" t="s">
        <v>262</v>
      </c>
      <c r="E358" s="136">
        <v>32</v>
      </c>
      <c r="F358" s="136">
        <v>106</v>
      </c>
      <c r="G358" s="137"/>
      <c r="H358" s="138"/>
      <c r="I358" s="139" t="s">
        <v>822</v>
      </c>
    </row>
    <row r="359" spans="1:9" ht="17.25" x14ac:dyDescent="0.35">
      <c r="A359" s="140"/>
      <c r="B359" s="136"/>
      <c r="C359" s="137"/>
      <c r="D359" s="136" t="s">
        <v>261</v>
      </c>
      <c r="E359" s="136">
        <v>1</v>
      </c>
      <c r="F359" s="136">
        <v>60</v>
      </c>
      <c r="G359" s="137"/>
      <c r="H359" s="138"/>
      <c r="I359" s="139" t="s">
        <v>823</v>
      </c>
    </row>
    <row r="360" spans="1:9" ht="17.25" x14ac:dyDescent="0.35">
      <c r="A360" s="140"/>
      <c r="B360" s="136"/>
      <c r="C360" s="137"/>
      <c r="D360" s="136" t="s">
        <v>262</v>
      </c>
      <c r="E360" s="136">
        <v>32</v>
      </c>
      <c r="F360" s="136" t="s">
        <v>824</v>
      </c>
      <c r="G360" s="137"/>
      <c r="H360" s="138"/>
      <c r="I360" s="139" t="s">
        <v>825</v>
      </c>
    </row>
    <row r="361" spans="1:9" ht="17.25" x14ac:dyDescent="0.35">
      <c r="A361" s="140"/>
      <c r="B361" s="136"/>
      <c r="C361" s="137"/>
      <c r="D361" s="136" t="s">
        <v>261</v>
      </c>
      <c r="E361" s="136">
        <v>1</v>
      </c>
      <c r="F361" s="136">
        <v>1</v>
      </c>
      <c r="G361" s="137"/>
      <c r="H361" s="138"/>
      <c r="I361" s="139" t="s">
        <v>826</v>
      </c>
    </row>
    <row r="362" spans="1:9" ht="17.25" x14ac:dyDescent="0.35">
      <c r="A362" s="140"/>
      <c r="B362" s="136"/>
      <c r="C362" s="137"/>
      <c r="D362" s="136" t="s">
        <v>261</v>
      </c>
      <c r="E362" s="136">
        <v>1</v>
      </c>
      <c r="F362" s="136">
        <v>15</v>
      </c>
      <c r="G362" s="137"/>
      <c r="H362" s="138"/>
      <c r="I362" s="139" t="s">
        <v>827</v>
      </c>
    </row>
    <row r="363" spans="1:9" ht="17.25" x14ac:dyDescent="0.35">
      <c r="A363" s="140"/>
      <c r="B363" s="136"/>
      <c r="C363" s="137"/>
      <c r="D363" s="136" t="s">
        <v>261</v>
      </c>
      <c r="E363" s="136">
        <v>1</v>
      </c>
      <c r="F363" s="136">
        <v>3</v>
      </c>
      <c r="G363" s="137"/>
      <c r="H363" s="138"/>
      <c r="I363" s="139" t="s">
        <v>828</v>
      </c>
    </row>
    <row r="364" spans="1:9" ht="17.25" x14ac:dyDescent="0.35">
      <c r="A364" s="140"/>
      <c r="B364" s="136"/>
      <c r="C364" s="137"/>
      <c r="D364" s="136" t="s">
        <v>261</v>
      </c>
      <c r="E364" s="136">
        <v>1</v>
      </c>
      <c r="F364" s="136">
        <v>30</v>
      </c>
      <c r="G364" s="137"/>
      <c r="H364" s="138"/>
      <c r="I364" s="139" t="s">
        <v>829</v>
      </c>
    </row>
    <row r="365" spans="1:9" ht="17.25" x14ac:dyDescent="0.35">
      <c r="A365" s="140"/>
      <c r="B365" s="136"/>
      <c r="C365" s="137"/>
      <c r="D365" s="136" t="s">
        <v>261</v>
      </c>
      <c r="E365" s="136">
        <v>1</v>
      </c>
      <c r="F365" s="136">
        <v>0</v>
      </c>
      <c r="G365" s="137"/>
      <c r="H365" s="138"/>
      <c r="I365" s="139" t="s">
        <v>830</v>
      </c>
    </row>
    <row r="366" spans="1:9" ht="17.25" x14ac:dyDescent="0.35">
      <c r="A366" s="140"/>
      <c r="B366" s="136"/>
      <c r="C366" s="137"/>
      <c r="D366" s="136" t="s">
        <v>261</v>
      </c>
      <c r="E366" s="136">
        <v>2</v>
      </c>
      <c r="F366" s="136">
        <v>5060</v>
      </c>
      <c r="G366" s="137"/>
      <c r="H366" s="138"/>
      <c r="I366" s="139" t="s">
        <v>831</v>
      </c>
    </row>
    <row r="367" spans="1:9" ht="17.25" x14ac:dyDescent="0.35">
      <c r="A367" s="129" t="s">
        <v>832</v>
      </c>
      <c r="B367" s="136" t="s">
        <v>833</v>
      </c>
      <c r="C367" s="137" t="s">
        <v>292</v>
      </c>
      <c r="D367" s="136"/>
      <c r="E367" s="136"/>
      <c r="F367" s="136" t="s">
        <v>6</v>
      </c>
      <c r="G367" s="138" t="s">
        <v>432</v>
      </c>
      <c r="H367" s="138"/>
      <c r="I367" s="139">
        <v>67259</v>
      </c>
    </row>
    <row r="368" spans="1:9" ht="17.25" x14ac:dyDescent="0.35">
      <c r="A368" s="141" t="s">
        <v>386</v>
      </c>
      <c r="B368" s="142" t="s">
        <v>386</v>
      </c>
      <c r="C368" s="143"/>
      <c r="D368" s="144" t="s">
        <v>262</v>
      </c>
      <c r="E368" s="144">
        <v>128</v>
      </c>
      <c r="F368" s="144">
        <v>10138</v>
      </c>
      <c r="G368" s="145"/>
      <c r="H368" s="146"/>
      <c r="I368" s="147" t="s">
        <v>834</v>
      </c>
    </row>
    <row r="369" spans="1:9" ht="17.25" x14ac:dyDescent="0.35">
      <c r="A369" s="140" t="s">
        <v>386</v>
      </c>
      <c r="B369" s="136" t="s">
        <v>386</v>
      </c>
      <c r="C369" s="137"/>
      <c r="D369" s="136" t="s">
        <v>261</v>
      </c>
      <c r="E369" s="136">
        <v>1</v>
      </c>
      <c r="F369" s="136">
        <v>1</v>
      </c>
      <c r="G369" s="137"/>
      <c r="H369" s="138"/>
      <c r="I369" s="139" t="s">
        <v>835</v>
      </c>
    </row>
    <row r="370" spans="1:9" ht="17.25" x14ac:dyDescent="0.35">
      <c r="A370" s="140" t="s">
        <v>386</v>
      </c>
      <c r="B370" s="136" t="s">
        <v>386</v>
      </c>
      <c r="C370" s="137"/>
      <c r="D370" s="136" t="s">
        <v>262</v>
      </c>
      <c r="E370" s="136">
        <v>128</v>
      </c>
      <c r="F370" s="136" t="s">
        <v>836</v>
      </c>
      <c r="G370" s="137"/>
      <c r="H370" s="138"/>
      <c r="I370" s="139" t="s">
        <v>837</v>
      </c>
    </row>
    <row r="371" spans="1:9" ht="17.25" x14ac:dyDescent="0.35">
      <c r="A371" s="140" t="s">
        <v>386</v>
      </c>
      <c r="B371" s="136" t="s">
        <v>386</v>
      </c>
      <c r="C371" s="137"/>
      <c r="D371" s="136" t="s">
        <v>262</v>
      </c>
      <c r="E371" s="136">
        <v>64</v>
      </c>
      <c r="F371" s="136" t="s">
        <v>838</v>
      </c>
      <c r="G371" s="137"/>
      <c r="H371" s="138"/>
      <c r="I371" s="139" t="s">
        <v>839</v>
      </c>
    </row>
    <row r="372" spans="1:9" ht="17.25" x14ac:dyDescent="0.35">
      <c r="A372" s="140" t="s">
        <v>386</v>
      </c>
      <c r="B372" s="136" t="s">
        <v>386</v>
      </c>
      <c r="C372" s="137"/>
      <c r="D372" s="136" t="s">
        <v>261</v>
      </c>
      <c r="E372" s="136">
        <v>4</v>
      </c>
      <c r="F372" s="136">
        <v>64</v>
      </c>
      <c r="G372" s="137"/>
      <c r="H372" s="138"/>
      <c r="I372" s="139" t="s">
        <v>840</v>
      </c>
    </row>
    <row r="373" spans="1:9" ht="17.25" x14ac:dyDescent="0.35">
      <c r="A373" s="140" t="s">
        <v>386</v>
      </c>
      <c r="B373" s="136" t="s">
        <v>386</v>
      </c>
      <c r="C373" s="137"/>
      <c r="D373" s="136" t="s">
        <v>262</v>
      </c>
      <c r="E373" s="136">
        <v>256</v>
      </c>
      <c r="F373" s="136"/>
      <c r="G373" s="137"/>
      <c r="H373" s="138"/>
      <c r="I373" s="139" t="s">
        <v>841</v>
      </c>
    </row>
    <row r="374" spans="1:9" ht="17.25" x14ac:dyDescent="0.35">
      <c r="A374" s="140" t="s">
        <v>386</v>
      </c>
      <c r="B374" s="136" t="s">
        <v>386</v>
      </c>
      <c r="C374" s="137"/>
      <c r="D374" s="136" t="s">
        <v>261</v>
      </c>
      <c r="E374" s="136">
        <v>1</v>
      </c>
      <c r="F374" s="136">
        <v>1</v>
      </c>
      <c r="G374" s="137"/>
      <c r="H374" s="138"/>
      <c r="I374" s="139" t="s">
        <v>842</v>
      </c>
    </row>
    <row r="375" spans="1:9" ht="17.25" x14ac:dyDescent="0.35">
      <c r="A375" s="148" t="s">
        <v>843</v>
      </c>
      <c r="B375" s="149" t="s">
        <v>844</v>
      </c>
      <c r="C375" s="150" t="s">
        <v>292</v>
      </c>
      <c r="D375" s="149"/>
      <c r="E375" s="149"/>
      <c r="F375" s="149"/>
      <c r="G375" s="138" t="s">
        <v>432</v>
      </c>
      <c r="H375" s="151"/>
      <c r="I375" s="152">
        <v>69744</v>
      </c>
    </row>
    <row r="376" spans="1:9" ht="17.25" x14ac:dyDescent="0.35">
      <c r="A376" s="153" t="s">
        <v>386</v>
      </c>
      <c r="B376" s="149" t="s">
        <v>386</v>
      </c>
      <c r="C376" s="150"/>
      <c r="D376" s="149" t="s">
        <v>261</v>
      </c>
      <c r="E376" s="149">
        <v>1</v>
      </c>
      <c r="F376" s="149">
        <v>16</v>
      </c>
      <c r="G376" s="150"/>
      <c r="H376" s="151"/>
      <c r="I376" s="152" t="s">
        <v>845</v>
      </c>
    </row>
    <row r="377" spans="1:9" ht="17.25" x14ac:dyDescent="0.35">
      <c r="A377" s="153" t="s">
        <v>386</v>
      </c>
      <c r="B377" s="149" t="s">
        <v>386</v>
      </c>
      <c r="C377" s="150"/>
      <c r="D377" s="149" t="s">
        <v>261</v>
      </c>
      <c r="E377" s="149">
        <v>2</v>
      </c>
      <c r="F377" s="149">
        <v>5060</v>
      </c>
      <c r="G377" s="150"/>
      <c r="H377" s="151"/>
      <c r="I377" s="152" t="s">
        <v>846</v>
      </c>
    </row>
    <row r="378" spans="1:9" ht="17.25" x14ac:dyDescent="0.35">
      <c r="A378" s="153" t="s">
        <v>386</v>
      </c>
      <c r="B378" s="149" t="s">
        <v>386</v>
      </c>
      <c r="C378" s="150"/>
      <c r="D378" s="149" t="s">
        <v>261</v>
      </c>
      <c r="E378" s="149">
        <v>4</v>
      </c>
      <c r="F378" s="149">
        <v>3600</v>
      </c>
      <c r="G378" s="150"/>
      <c r="H378" s="151"/>
      <c r="I378" s="152" t="s">
        <v>847</v>
      </c>
    </row>
    <row r="379" spans="1:9" ht="17.25" x14ac:dyDescent="0.35">
      <c r="A379" s="153" t="s">
        <v>386</v>
      </c>
      <c r="B379" s="149" t="s">
        <v>386</v>
      </c>
      <c r="C379" s="150"/>
      <c r="D379" s="149" t="s">
        <v>261</v>
      </c>
      <c r="E379" s="149">
        <v>4</v>
      </c>
      <c r="F379" s="149">
        <v>0</v>
      </c>
      <c r="G379" s="150"/>
      <c r="H379" s="151"/>
      <c r="I379" s="152" t="s">
        <v>848</v>
      </c>
    </row>
    <row r="380" spans="1:9" ht="17.25" x14ac:dyDescent="0.35">
      <c r="A380" s="153" t="s">
        <v>386</v>
      </c>
      <c r="B380" s="149" t="s">
        <v>386</v>
      </c>
      <c r="C380" s="150"/>
      <c r="D380" s="149" t="s">
        <v>261</v>
      </c>
      <c r="E380" s="149">
        <v>4</v>
      </c>
      <c r="F380" s="149">
        <v>2000</v>
      </c>
      <c r="G380" s="150"/>
      <c r="H380" s="151"/>
      <c r="I380" s="152" t="s">
        <v>849</v>
      </c>
    </row>
    <row r="381" spans="1:9" ht="17.25" x14ac:dyDescent="0.35">
      <c r="A381" s="153" t="s">
        <v>386</v>
      </c>
      <c r="B381" s="149" t="s">
        <v>386</v>
      </c>
      <c r="C381" s="150"/>
      <c r="D381" s="149" t="s">
        <v>261</v>
      </c>
      <c r="E381" s="149">
        <v>4</v>
      </c>
      <c r="F381" s="149">
        <v>16000</v>
      </c>
      <c r="G381" s="150"/>
      <c r="H381" s="151"/>
      <c r="I381" s="152" t="s">
        <v>850</v>
      </c>
    </row>
    <row r="382" spans="1:9" ht="17.25" x14ac:dyDescent="0.35">
      <c r="A382" s="153" t="s">
        <v>386</v>
      </c>
      <c r="B382" s="149" t="s">
        <v>386</v>
      </c>
      <c r="C382" s="150"/>
      <c r="D382" s="149" t="s">
        <v>261</v>
      </c>
      <c r="E382" s="149">
        <v>4</v>
      </c>
      <c r="F382" s="149">
        <v>17000</v>
      </c>
      <c r="G382" s="150"/>
      <c r="H382" s="151"/>
      <c r="I382" s="152" t="s">
        <v>851</v>
      </c>
    </row>
    <row r="383" spans="1:9" ht="17.25" x14ac:dyDescent="0.35">
      <c r="A383" s="153" t="s">
        <v>386</v>
      </c>
      <c r="B383" s="149" t="s">
        <v>386</v>
      </c>
      <c r="C383" s="150"/>
      <c r="D383" s="149" t="s">
        <v>261</v>
      </c>
      <c r="E383" s="149">
        <v>4</v>
      </c>
      <c r="F383" s="149">
        <v>32000</v>
      </c>
      <c r="G383" s="150"/>
      <c r="H383" s="151"/>
      <c r="I383" s="152" t="s">
        <v>852</v>
      </c>
    </row>
    <row r="384" spans="1:9" ht="17.25" x14ac:dyDescent="0.35">
      <c r="A384" s="153" t="s">
        <v>386</v>
      </c>
      <c r="B384" s="149" t="s">
        <v>386</v>
      </c>
      <c r="C384" s="150"/>
      <c r="D384" s="149" t="s">
        <v>261</v>
      </c>
      <c r="E384" s="149">
        <v>4</v>
      </c>
      <c r="F384" s="149">
        <v>32000</v>
      </c>
      <c r="G384" s="150"/>
      <c r="H384" s="151"/>
      <c r="I384" s="152" t="s">
        <v>853</v>
      </c>
    </row>
    <row r="385" spans="1:9" ht="17.25" x14ac:dyDescent="0.35">
      <c r="A385" s="153" t="s">
        <v>386</v>
      </c>
      <c r="B385" s="149" t="s">
        <v>386</v>
      </c>
      <c r="C385" s="150"/>
      <c r="D385" s="149" t="s">
        <v>261</v>
      </c>
      <c r="E385" s="149">
        <v>2</v>
      </c>
      <c r="F385" s="149">
        <v>1230</v>
      </c>
      <c r="G385" s="150"/>
      <c r="H385" s="151"/>
      <c r="I385" s="152" t="s">
        <v>854</v>
      </c>
    </row>
    <row r="386" spans="1:9" ht="17.25" x14ac:dyDescent="0.35">
      <c r="A386" s="153" t="s">
        <v>386</v>
      </c>
      <c r="B386" s="149" t="s">
        <v>386</v>
      </c>
      <c r="C386" s="150"/>
      <c r="D386" s="149" t="s">
        <v>261</v>
      </c>
      <c r="E386" s="149">
        <v>1</v>
      </c>
      <c r="F386" s="149">
        <v>1</v>
      </c>
      <c r="G386" s="150"/>
      <c r="H386" s="151"/>
      <c r="I386" s="152" t="s">
        <v>855</v>
      </c>
    </row>
    <row r="387" spans="1:9" ht="17.25" x14ac:dyDescent="0.35">
      <c r="A387" s="153" t="s">
        <v>386</v>
      </c>
      <c r="B387" s="149" t="s">
        <v>386</v>
      </c>
      <c r="C387" s="150"/>
      <c r="D387" s="149" t="s">
        <v>261</v>
      </c>
      <c r="E387" s="149">
        <v>1</v>
      </c>
      <c r="F387" s="149">
        <v>0</v>
      </c>
      <c r="G387" s="150"/>
      <c r="H387" s="151"/>
      <c r="I387" s="152" t="s">
        <v>856</v>
      </c>
    </row>
    <row r="388" spans="1:9" ht="17.25" x14ac:dyDescent="0.35">
      <c r="A388" s="153" t="s">
        <v>386</v>
      </c>
      <c r="B388" s="149" t="s">
        <v>386</v>
      </c>
      <c r="C388" s="150"/>
      <c r="D388" s="149" t="s">
        <v>261</v>
      </c>
      <c r="E388" s="149">
        <v>1</v>
      </c>
      <c r="F388" s="149">
        <v>0</v>
      </c>
      <c r="G388" s="150"/>
      <c r="H388" s="151"/>
      <c r="I388" s="152" t="s">
        <v>857</v>
      </c>
    </row>
    <row r="389" spans="1:9" ht="17.25" x14ac:dyDescent="0.35">
      <c r="A389" s="153" t="s">
        <v>386</v>
      </c>
      <c r="B389" s="149" t="s">
        <v>386</v>
      </c>
      <c r="C389" s="150"/>
      <c r="D389" s="149" t="s">
        <v>261</v>
      </c>
      <c r="E389" s="149">
        <v>1</v>
      </c>
      <c r="F389" s="149">
        <v>3</v>
      </c>
      <c r="G389" s="150"/>
      <c r="H389" s="151"/>
      <c r="I389" s="152" t="s">
        <v>858</v>
      </c>
    </row>
    <row r="390" spans="1:9" ht="17.25" x14ac:dyDescent="0.35">
      <c r="A390" s="153" t="s">
        <v>386</v>
      </c>
      <c r="B390" s="149" t="s">
        <v>386</v>
      </c>
      <c r="C390" s="150"/>
      <c r="D390" s="149" t="s">
        <v>261</v>
      </c>
      <c r="E390" s="149">
        <v>1</v>
      </c>
      <c r="F390" s="149">
        <v>7</v>
      </c>
      <c r="G390" s="150"/>
      <c r="H390" s="151"/>
      <c r="I390" s="152" t="s">
        <v>859</v>
      </c>
    </row>
    <row r="391" spans="1:9" ht="17.25" x14ac:dyDescent="0.35">
      <c r="A391" s="153" t="s">
        <v>386</v>
      </c>
      <c r="B391" s="149" t="s">
        <v>386</v>
      </c>
      <c r="C391" s="150"/>
      <c r="D391" s="149" t="s">
        <v>261</v>
      </c>
      <c r="E391" s="149">
        <v>1</v>
      </c>
      <c r="F391" s="149">
        <v>0</v>
      </c>
      <c r="G391" s="150"/>
      <c r="H391" s="151"/>
      <c r="I391" s="152" t="s">
        <v>860</v>
      </c>
    </row>
    <row r="392" spans="1:9" ht="17.25" x14ac:dyDescent="0.35">
      <c r="A392" s="153" t="s">
        <v>386</v>
      </c>
      <c r="B392" s="149" t="s">
        <v>386</v>
      </c>
      <c r="C392" s="150"/>
      <c r="D392" s="149" t="s">
        <v>261</v>
      </c>
      <c r="E392" s="149">
        <v>1</v>
      </c>
      <c r="F392" s="149">
        <v>0</v>
      </c>
      <c r="G392" s="150"/>
      <c r="H392" s="151"/>
      <c r="I392" s="152" t="s">
        <v>861</v>
      </c>
    </row>
    <row r="393" spans="1:9" ht="17.25" x14ac:dyDescent="0.35">
      <c r="A393" s="153" t="s">
        <v>386</v>
      </c>
      <c r="B393" s="149" t="s">
        <v>386</v>
      </c>
      <c r="C393" s="150"/>
      <c r="D393" s="149" t="s">
        <v>262</v>
      </c>
      <c r="E393" s="149">
        <v>256</v>
      </c>
      <c r="F393" s="149"/>
      <c r="G393" s="150"/>
      <c r="H393" s="151"/>
      <c r="I393" s="152" t="s">
        <v>862</v>
      </c>
    </row>
    <row r="394" spans="1:9" ht="17.25" x14ac:dyDescent="0.35">
      <c r="A394" s="153" t="s">
        <v>386</v>
      </c>
      <c r="B394" s="149" t="s">
        <v>386</v>
      </c>
      <c r="C394" s="150"/>
      <c r="D394" s="149" t="s">
        <v>262</v>
      </c>
      <c r="E394" s="149">
        <v>256</v>
      </c>
      <c r="F394" s="149"/>
      <c r="G394" s="150"/>
      <c r="H394" s="151"/>
      <c r="I394" s="152" t="s">
        <v>863</v>
      </c>
    </row>
    <row r="395" spans="1:9" ht="17.25" x14ac:dyDescent="0.35">
      <c r="A395" s="153"/>
      <c r="B395" s="149"/>
      <c r="C395" s="150"/>
      <c r="D395" s="149" t="s">
        <v>261</v>
      </c>
      <c r="E395" s="149">
        <v>1</v>
      </c>
      <c r="F395" s="149">
        <v>0</v>
      </c>
      <c r="G395" s="150"/>
      <c r="H395" s="151"/>
      <c r="I395" s="152" t="s">
        <v>864</v>
      </c>
    </row>
    <row r="396" spans="1:9" ht="17.25" x14ac:dyDescent="0.35">
      <c r="A396" s="153"/>
      <c r="B396" s="149"/>
      <c r="C396" s="150"/>
      <c r="D396" s="149" t="s">
        <v>261</v>
      </c>
      <c r="E396" s="154">
        <v>4</v>
      </c>
      <c r="F396" s="149">
        <v>0</v>
      </c>
      <c r="G396" s="150"/>
      <c r="H396" s="151"/>
      <c r="I396" s="152" t="s">
        <v>865</v>
      </c>
    </row>
    <row r="397" spans="1:9" ht="17.25" x14ac:dyDescent="0.35">
      <c r="A397" s="153"/>
      <c r="B397" s="149"/>
      <c r="C397" s="150"/>
      <c r="D397" s="149" t="s">
        <v>261</v>
      </c>
      <c r="E397" s="154">
        <v>4</v>
      </c>
      <c r="F397" s="149">
        <v>0</v>
      </c>
      <c r="G397" s="150"/>
      <c r="H397" s="151"/>
      <c r="I397" s="152" t="s">
        <v>866</v>
      </c>
    </row>
    <row r="398" spans="1:9" ht="17.25" x14ac:dyDescent="0.35">
      <c r="A398" s="153"/>
      <c r="B398" s="149"/>
      <c r="C398" s="150"/>
      <c r="D398" s="149" t="s">
        <v>261</v>
      </c>
      <c r="E398" s="154">
        <v>4</v>
      </c>
      <c r="F398" s="149">
        <v>0</v>
      </c>
      <c r="G398" s="150"/>
      <c r="H398" s="151"/>
      <c r="I398" s="152" t="s">
        <v>867</v>
      </c>
    </row>
    <row r="399" spans="1:9" ht="17.25" x14ac:dyDescent="0.35">
      <c r="A399" s="153"/>
      <c r="B399" s="149"/>
      <c r="C399" s="150"/>
      <c r="D399" s="149" t="s">
        <v>261</v>
      </c>
      <c r="E399" s="154">
        <v>4</v>
      </c>
      <c r="F399" s="149">
        <v>0</v>
      </c>
      <c r="G399" s="150"/>
      <c r="H399" s="151"/>
      <c r="I399" s="152" t="s">
        <v>868</v>
      </c>
    </row>
    <row r="400" spans="1:9" ht="17.25" x14ac:dyDescent="0.35">
      <c r="A400" s="153"/>
      <c r="B400" s="149"/>
      <c r="C400" s="150"/>
      <c r="D400" s="149" t="s">
        <v>261</v>
      </c>
      <c r="E400" s="154">
        <v>4</v>
      </c>
      <c r="F400" s="149">
        <v>0</v>
      </c>
      <c r="G400" s="150"/>
      <c r="H400" s="151"/>
      <c r="I400" s="152" t="s">
        <v>869</v>
      </c>
    </row>
    <row r="401" spans="1:9" ht="17.25" x14ac:dyDescent="0.35">
      <c r="A401" s="153"/>
      <c r="B401" s="149"/>
      <c r="C401" s="150"/>
      <c r="D401" s="149" t="s">
        <v>261</v>
      </c>
      <c r="E401" s="154">
        <v>4</v>
      </c>
      <c r="F401" s="149">
        <v>0</v>
      </c>
      <c r="G401" s="150"/>
      <c r="H401" s="151"/>
      <c r="I401" s="152" t="s">
        <v>870</v>
      </c>
    </row>
    <row r="402" spans="1:9" ht="17.25" x14ac:dyDescent="0.35">
      <c r="A402" s="153"/>
      <c r="B402" s="149"/>
      <c r="C402" s="150"/>
      <c r="D402" s="149" t="s">
        <v>261</v>
      </c>
      <c r="E402" s="154">
        <v>4</v>
      </c>
      <c r="F402" s="149">
        <v>0</v>
      </c>
      <c r="G402" s="150"/>
      <c r="H402" s="151"/>
      <c r="I402" s="152" t="s">
        <v>871</v>
      </c>
    </row>
    <row r="403" spans="1:9" ht="17.25" x14ac:dyDescent="0.35">
      <c r="A403" s="153"/>
      <c r="B403" s="149"/>
      <c r="C403" s="150"/>
      <c r="D403" s="149" t="s">
        <v>261</v>
      </c>
      <c r="E403" s="154">
        <v>4</v>
      </c>
      <c r="F403" s="149">
        <v>0</v>
      </c>
      <c r="G403" s="150"/>
      <c r="H403" s="151"/>
      <c r="I403" s="152" t="s">
        <v>872</v>
      </c>
    </row>
    <row r="404" spans="1:9" ht="17.25" x14ac:dyDescent="0.35">
      <c r="A404" s="153"/>
      <c r="B404" s="149"/>
      <c r="C404" s="150"/>
      <c r="D404" s="149" t="s">
        <v>261</v>
      </c>
      <c r="E404" s="154">
        <v>1</v>
      </c>
      <c r="F404" s="149">
        <v>0</v>
      </c>
      <c r="G404" s="150"/>
      <c r="H404" s="151"/>
      <c r="I404" s="152" t="s">
        <v>873</v>
      </c>
    </row>
    <row r="405" spans="1:9" ht="17.25" x14ac:dyDescent="0.35">
      <c r="A405" s="153"/>
      <c r="B405" s="149"/>
      <c r="C405" s="150"/>
      <c r="D405" s="149" t="s">
        <v>261</v>
      </c>
      <c r="E405" s="154">
        <v>2</v>
      </c>
      <c r="F405" s="149">
        <v>0</v>
      </c>
      <c r="G405" s="150"/>
      <c r="H405" s="151"/>
      <c r="I405" s="152" t="s">
        <v>874</v>
      </c>
    </row>
    <row r="406" spans="1:9" ht="17.25" x14ac:dyDescent="0.35">
      <c r="A406" s="153"/>
      <c r="B406" s="149"/>
      <c r="C406" s="150"/>
      <c r="D406" s="149" t="s">
        <v>261</v>
      </c>
      <c r="E406" s="154">
        <v>4</v>
      </c>
      <c r="F406" s="149">
        <v>32000</v>
      </c>
      <c r="G406" s="150"/>
      <c r="H406" s="151"/>
      <c r="I406" s="152" t="s">
        <v>875</v>
      </c>
    </row>
    <row r="407" spans="1:9" ht="17.25" x14ac:dyDescent="0.35">
      <c r="A407" s="153"/>
      <c r="B407" s="149"/>
      <c r="C407" s="150"/>
      <c r="D407" s="149" t="s">
        <v>261</v>
      </c>
      <c r="E407" s="154">
        <v>1</v>
      </c>
      <c r="F407" s="149">
        <v>0</v>
      </c>
      <c r="G407" s="150"/>
      <c r="H407" s="151"/>
      <c r="I407" s="152" t="s">
        <v>876</v>
      </c>
    </row>
    <row r="408" spans="1:9" ht="17.25" x14ac:dyDescent="0.35">
      <c r="A408" s="153"/>
      <c r="B408" s="149"/>
      <c r="C408" s="150"/>
      <c r="D408" s="149" t="s">
        <v>261</v>
      </c>
      <c r="E408" s="154">
        <v>1</v>
      </c>
      <c r="F408" s="149">
        <v>0</v>
      </c>
      <c r="G408" s="150"/>
      <c r="H408" s="151"/>
      <c r="I408" s="152" t="s">
        <v>877</v>
      </c>
    </row>
    <row r="409" spans="1:9" ht="17.25" x14ac:dyDescent="0.35">
      <c r="A409" s="153"/>
      <c r="B409" s="149"/>
      <c r="C409" s="150"/>
      <c r="D409" s="149" t="s">
        <v>261</v>
      </c>
      <c r="E409" s="154">
        <v>4</v>
      </c>
      <c r="F409" s="149">
        <v>0</v>
      </c>
      <c r="G409" s="150"/>
      <c r="H409" s="151"/>
      <c r="I409" s="152" t="s">
        <v>878</v>
      </c>
    </row>
    <row r="410" spans="1:9" ht="17.25" x14ac:dyDescent="0.35">
      <c r="A410" s="153"/>
      <c r="B410" s="149"/>
      <c r="C410" s="150"/>
      <c r="D410" s="149" t="s">
        <v>261</v>
      </c>
      <c r="E410" s="154">
        <v>1</v>
      </c>
      <c r="F410" s="149">
        <v>1</v>
      </c>
      <c r="G410" s="150"/>
      <c r="H410" s="151"/>
      <c r="I410" s="152" t="s">
        <v>879</v>
      </c>
    </row>
    <row r="411" spans="1:9" ht="17.25" x14ac:dyDescent="0.35">
      <c r="A411" s="153"/>
      <c r="B411" s="149"/>
      <c r="C411" s="150"/>
      <c r="D411" s="149" t="s">
        <v>261</v>
      </c>
      <c r="E411" s="154">
        <v>1</v>
      </c>
      <c r="F411" s="149">
        <v>0</v>
      </c>
      <c r="G411" s="150"/>
      <c r="H411" s="151"/>
      <c r="I411" s="152" t="s">
        <v>880</v>
      </c>
    </row>
    <row r="412" spans="1:9" ht="17.25" x14ac:dyDescent="0.35">
      <c r="A412" s="153"/>
      <c r="B412" s="149"/>
      <c r="C412" s="150"/>
      <c r="D412" s="149" t="s">
        <v>261</v>
      </c>
      <c r="E412" s="154">
        <v>4</v>
      </c>
      <c r="F412" s="149"/>
      <c r="G412" s="150"/>
      <c r="H412" s="151"/>
      <c r="I412" s="152" t="s">
        <v>881</v>
      </c>
    </row>
    <row r="413" spans="1:9" ht="17.25" x14ac:dyDescent="0.35">
      <c r="A413" s="153"/>
      <c r="B413" s="149"/>
      <c r="C413" s="150"/>
      <c r="D413" s="149" t="s">
        <v>261</v>
      </c>
      <c r="E413" s="154">
        <v>4</v>
      </c>
      <c r="F413" s="149"/>
      <c r="G413" s="150"/>
      <c r="H413" s="151"/>
      <c r="I413" s="152" t="s">
        <v>882</v>
      </c>
    </row>
    <row r="414" spans="1:9" ht="17.25" x14ac:dyDescent="0.35">
      <c r="A414" s="153"/>
      <c r="B414" s="149"/>
      <c r="C414" s="150"/>
      <c r="D414" s="149" t="s">
        <v>262</v>
      </c>
      <c r="E414" s="154">
        <v>50</v>
      </c>
      <c r="F414" s="149"/>
      <c r="G414" s="150"/>
      <c r="H414" s="151"/>
      <c r="I414" s="152" t="s">
        <v>883</v>
      </c>
    </row>
    <row r="415" spans="1:9" ht="17.25" x14ac:dyDescent="0.35">
      <c r="A415" s="153"/>
      <c r="B415" s="149"/>
      <c r="C415" s="150"/>
      <c r="D415" s="149" t="s">
        <v>261</v>
      </c>
      <c r="E415" s="154">
        <v>4</v>
      </c>
      <c r="F415" s="149"/>
      <c r="G415" s="150"/>
      <c r="H415" s="151"/>
      <c r="I415" s="152" t="s">
        <v>884</v>
      </c>
    </row>
    <row r="416" spans="1:9" ht="17.25" x14ac:dyDescent="0.35">
      <c r="A416" s="153"/>
      <c r="B416" s="149"/>
      <c r="C416" s="150"/>
      <c r="D416" s="149" t="s">
        <v>261</v>
      </c>
      <c r="E416" s="154">
        <v>4</v>
      </c>
      <c r="F416" s="149"/>
      <c r="G416" s="150"/>
      <c r="H416" s="151"/>
      <c r="I416" s="152" t="s">
        <v>885</v>
      </c>
    </row>
    <row r="417" spans="1:9" ht="17.25" x14ac:dyDescent="0.35">
      <c r="A417" s="153"/>
      <c r="B417" s="149"/>
      <c r="C417" s="150"/>
      <c r="D417" s="149" t="s">
        <v>261</v>
      </c>
      <c r="E417" s="154">
        <v>4</v>
      </c>
      <c r="F417" s="149"/>
      <c r="G417" s="150"/>
      <c r="H417" s="151"/>
      <c r="I417" s="152" t="s">
        <v>886</v>
      </c>
    </row>
    <row r="418" spans="1:9" ht="17.25" x14ac:dyDescent="0.35">
      <c r="A418" s="153"/>
      <c r="B418" s="149"/>
      <c r="C418" s="150"/>
      <c r="D418" s="149" t="s">
        <v>261</v>
      </c>
      <c r="E418" s="154">
        <v>4</v>
      </c>
      <c r="F418" s="149"/>
      <c r="G418" s="150"/>
      <c r="H418" s="151"/>
      <c r="I418" s="152" t="s">
        <v>887</v>
      </c>
    </row>
    <row r="419" spans="1:9" ht="17.25" x14ac:dyDescent="0.35">
      <c r="A419" s="153"/>
      <c r="B419" s="149"/>
      <c r="C419" s="150"/>
      <c r="D419" s="149" t="s">
        <v>261</v>
      </c>
      <c r="E419" s="154">
        <v>4</v>
      </c>
      <c r="F419" s="149"/>
      <c r="G419" s="150"/>
      <c r="H419" s="151"/>
      <c r="I419" s="152" t="s">
        <v>888</v>
      </c>
    </row>
    <row r="420" spans="1:9" ht="17.25" x14ac:dyDescent="0.35">
      <c r="A420" s="153"/>
      <c r="B420" s="149"/>
      <c r="C420" s="150"/>
      <c r="D420" s="149" t="s">
        <v>261</v>
      </c>
      <c r="E420" s="154">
        <v>4</v>
      </c>
      <c r="F420" s="149"/>
      <c r="G420" s="150"/>
      <c r="H420" s="151"/>
      <c r="I420" s="152" t="s">
        <v>889</v>
      </c>
    </row>
    <row r="421" spans="1:9" ht="17.25" x14ac:dyDescent="0.35">
      <c r="A421" s="153"/>
      <c r="B421" s="149"/>
      <c r="C421" s="150"/>
      <c r="D421" s="149" t="s">
        <v>261</v>
      </c>
      <c r="E421" s="154">
        <v>4</v>
      </c>
      <c r="F421" s="149"/>
      <c r="G421" s="150"/>
      <c r="H421" s="151"/>
      <c r="I421" s="152" t="s">
        <v>890</v>
      </c>
    </row>
    <row r="422" spans="1:9" ht="17.25" x14ac:dyDescent="0.35">
      <c r="A422" s="153"/>
      <c r="B422" s="149"/>
      <c r="C422" s="150"/>
      <c r="D422" s="149" t="s">
        <v>261</v>
      </c>
      <c r="E422" s="154">
        <v>4</v>
      </c>
      <c r="F422" s="149"/>
      <c r="G422" s="150"/>
      <c r="H422" s="151"/>
      <c r="I422" s="152" t="s">
        <v>891</v>
      </c>
    </row>
    <row r="423" spans="1:9" ht="17.25" x14ac:dyDescent="0.35">
      <c r="A423" s="153"/>
      <c r="B423" s="149"/>
      <c r="C423" s="150"/>
      <c r="D423" s="149" t="s">
        <v>261</v>
      </c>
      <c r="E423" s="154">
        <v>4</v>
      </c>
      <c r="F423" s="149"/>
      <c r="G423" s="150"/>
      <c r="H423" s="151"/>
      <c r="I423" s="152" t="s">
        <v>892</v>
      </c>
    </row>
    <row r="424" spans="1:9" ht="17.25" x14ac:dyDescent="0.35">
      <c r="A424" s="153"/>
      <c r="B424" s="149"/>
      <c r="C424" s="150"/>
      <c r="D424" s="149" t="s">
        <v>261</v>
      </c>
      <c r="E424" s="154">
        <v>330</v>
      </c>
      <c r="F424" s="149"/>
      <c r="G424" s="150"/>
      <c r="H424" s="151"/>
      <c r="I424" s="152" t="s">
        <v>893</v>
      </c>
    </row>
    <row r="425" spans="1:9" ht="17.25" x14ac:dyDescent="0.35">
      <c r="A425" s="129" t="s">
        <v>894</v>
      </c>
      <c r="B425" s="136" t="s">
        <v>895</v>
      </c>
      <c r="C425" s="137" t="s">
        <v>292</v>
      </c>
      <c r="D425" s="136"/>
      <c r="E425" s="136"/>
      <c r="F425" s="136"/>
      <c r="G425" s="138" t="s">
        <v>432</v>
      </c>
      <c r="H425" s="138"/>
      <c r="I425" s="139">
        <v>69673</v>
      </c>
    </row>
    <row r="426" spans="1:9" ht="17.25" x14ac:dyDescent="0.35">
      <c r="A426" s="140"/>
      <c r="B426" s="136"/>
      <c r="C426" s="137"/>
      <c r="D426" s="136" t="s">
        <v>261</v>
      </c>
      <c r="E426" s="136">
        <v>1</v>
      </c>
      <c r="F426" s="136">
        <v>2</v>
      </c>
      <c r="G426" s="137"/>
      <c r="H426" s="138"/>
      <c r="I426" s="139" t="s">
        <v>6</v>
      </c>
    </row>
    <row r="427" spans="1:9" ht="17.25" x14ac:dyDescent="0.35">
      <c r="A427" s="129" t="s">
        <v>896</v>
      </c>
      <c r="B427" s="136" t="s">
        <v>897</v>
      </c>
      <c r="C427" s="137" t="s">
        <v>292</v>
      </c>
      <c r="D427" s="136"/>
      <c r="E427" s="136"/>
      <c r="F427" s="136"/>
      <c r="G427" s="138" t="s">
        <v>432</v>
      </c>
      <c r="H427" s="138"/>
      <c r="I427" s="139">
        <v>67348</v>
      </c>
    </row>
    <row r="428" spans="1:9" ht="17.25" x14ac:dyDescent="0.35">
      <c r="A428" s="140" t="s">
        <v>386</v>
      </c>
      <c r="B428" s="136" t="s">
        <v>386</v>
      </c>
      <c r="C428" s="137"/>
      <c r="D428" s="136" t="s">
        <v>261</v>
      </c>
      <c r="E428" s="136">
        <v>1</v>
      </c>
      <c r="F428" s="136">
        <v>15</v>
      </c>
      <c r="G428" s="137"/>
      <c r="H428" s="138"/>
      <c r="I428" s="139" t="s">
        <v>898</v>
      </c>
    </row>
    <row r="429" spans="1:9" ht="17.25" x14ac:dyDescent="0.35">
      <c r="A429" s="140" t="s">
        <v>386</v>
      </c>
      <c r="B429" s="136" t="s">
        <v>386</v>
      </c>
      <c r="C429" s="137"/>
      <c r="D429" s="136" t="s">
        <v>261</v>
      </c>
      <c r="E429" s="136">
        <v>1</v>
      </c>
      <c r="F429" s="136">
        <v>1</v>
      </c>
      <c r="G429" s="137"/>
      <c r="H429" s="138"/>
      <c r="I429" s="139" t="s">
        <v>899</v>
      </c>
    </row>
    <row r="430" spans="1:9" ht="17.25" x14ac:dyDescent="0.35">
      <c r="A430" s="140" t="s">
        <v>386</v>
      </c>
      <c r="B430" s="136" t="s">
        <v>386</v>
      </c>
      <c r="C430" s="137"/>
      <c r="D430" s="136" t="s">
        <v>261</v>
      </c>
      <c r="E430" s="136">
        <v>4</v>
      </c>
      <c r="F430" s="136">
        <v>0</v>
      </c>
      <c r="G430" s="137"/>
      <c r="H430" s="138"/>
      <c r="I430" s="139" t="s">
        <v>900</v>
      </c>
    </row>
    <row r="431" spans="1:9" ht="17.25" x14ac:dyDescent="0.35">
      <c r="A431" s="140" t="s">
        <v>386</v>
      </c>
      <c r="B431" s="136" t="s">
        <v>386</v>
      </c>
      <c r="C431" s="137"/>
      <c r="D431" s="136" t="s">
        <v>261</v>
      </c>
      <c r="E431" s="136">
        <v>1</v>
      </c>
      <c r="F431" s="136">
        <v>0</v>
      </c>
      <c r="G431" s="137"/>
      <c r="H431" s="138"/>
      <c r="I431" s="139" t="s">
        <v>901</v>
      </c>
    </row>
    <row r="432" spans="1:9" ht="17.25" x14ac:dyDescent="0.35">
      <c r="A432" s="140" t="s">
        <v>386</v>
      </c>
      <c r="B432" s="136" t="s">
        <v>386</v>
      </c>
      <c r="C432" s="137"/>
      <c r="D432" s="136" t="s">
        <v>261</v>
      </c>
      <c r="E432" s="136">
        <v>1</v>
      </c>
      <c r="F432" s="136">
        <v>0</v>
      </c>
      <c r="G432" s="137"/>
      <c r="H432" s="138"/>
      <c r="I432" s="139" t="s">
        <v>902</v>
      </c>
    </row>
    <row r="433" spans="1:9" ht="17.25" x14ac:dyDescent="0.35">
      <c r="A433" s="140" t="s">
        <v>386</v>
      </c>
      <c r="B433" s="136" t="s">
        <v>386</v>
      </c>
      <c r="C433" s="137"/>
      <c r="D433" s="136" t="s">
        <v>261</v>
      </c>
      <c r="E433" s="136">
        <v>1</v>
      </c>
      <c r="F433" s="136">
        <v>0</v>
      </c>
      <c r="G433" s="137"/>
      <c r="H433" s="138"/>
      <c r="I433" s="139" t="s">
        <v>903</v>
      </c>
    </row>
    <row r="434" spans="1:9" ht="17.25" x14ac:dyDescent="0.35">
      <c r="A434" s="140" t="s">
        <v>386</v>
      </c>
      <c r="B434" s="136" t="s">
        <v>386</v>
      </c>
      <c r="C434" s="137"/>
      <c r="D434" s="136" t="s">
        <v>261</v>
      </c>
      <c r="E434" s="136">
        <v>1</v>
      </c>
      <c r="F434" s="136">
        <v>0</v>
      </c>
      <c r="G434" s="137"/>
      <c r="H434" s="138"/>
      <c r="I434" s="139" t="s">
        <v>904</v>
      </c>
    </row>
    <row r="435" spans="1:9" ht="17.25" x14ac:dyDescent="0.35">
      <c r="A435" s="140" t="s">
        <v>386</v>
      </c>
      <c r="B435" s="136" t="s">
        <v>386</v>
      </c>
      <c r="C435" s="137"/>
      <c r="D435" s="136" t="s">
        <v>262</v>
      </c>
      <c r="E435" s="136">
        <v>16</v>
      </c>
      <c r="F435" s="136"/>
      <c r="G435" s="137"/>
      <c r="H435" s="138"/>
      <c r="I435" s="139" t="s">
        <v>905</v>
      </c>
    </row>
    <row r="436" spans="1:9" ht="17.25" x14ac:dyDescent="0.35">
      <c r="A436" s="140" t="s">
        <v>386</v>
      </c>
      <c r="B436" s="136" t="s">
        <v>386</v>
      </c>
      <c r="C436" s="137"/>
      <c r="D436" s="136" t="s">
        <v>261</v>
      </c>
      <c r="E436" s="136">
        <v>1</v>
      </c>
      <c r="F436" s="136">
        <v>1</v>
      </c>
      <c r="G436" s="137"/>
      <c r="H436" s="138"/>
      <c r="I436" s="139" t="s">
        <v>906</v>
      </c>
    </row>
    <row r="437" spans="1:9" ht="17.25" x14ac:dyDescent="0.35">
      <c r="A437" s="141" t="s">
        <v>386</v>
      </c>
      <c r="B437" s="142" t="s">
        <v>386</v>
      </c>
      <c r="C437" s="143"/>
      <c r="D437" s="142" t="s">
        <v>261</v>
      </c>
      <c r="E437" s="142">
        <v>1</v>
      </c>
      <c r="F437" s="142">
        <v>0</v>
      </c>
      <c r="G437" s="143"/>
      <c r="H437" s="155"/>
      <c r="I437" s="156" t="s">
        <v>907</v>
      </c>
    </row>
    <row r="438" spans="1:9" ht="17.25" x14ac:dyDescent="0.35">
      <c r="A438" s="140" t="s">
        <v>386</v>
      </c>
      <c r="B438" s="136" t="s">
        <v>386</v>
      </c>
      <c r="C438" s="137"/>
      <c r="D438" s="136" t="s">
        <v>261</v>
      </c>
      <c r="E438" s="136">
        <v>1</v>
      </c>
      <c r="F438" s="136">
        <v>0</v>
      </c>
      <c r="G438" s="137"/>
      <c r="H438" s="138"/>
      <c r="I438" s="139" t="s">
        <v>908</v>
      </c>
    </row>
    <row r="439" spans="1:9" ht="17.25" x14ac:dyDescent="0.35">
      <c r="A439" s="140"/>
      <c r="B439" s="136"/>
      <c r="C439" s="137"/>
      <c r="D439" s="136" t="s">
        <v>261</v>
      </c>
      <c r="E439" s="136">
        <v>1</v>
      </c>
      <c r="F439" s="136"/>
      <c r="G439" s="137"/>
      <c r="H439" s="138"/>
      <c r="I439" s="139" t="s">
        <v>909</v>
      </c>
    </row>
    <row r="440" spans="1:9" ht="17.25" x14ac:dyDescent="0.35">
      <c r="A440" s="140"/>
      <c r="B440" s="136"/>
      <c r="C440" s="137"/>
      <c r="D440" s="136" t="s">
        <v>261</v>
      </c>
      <c r="E440" s="136">
        <v>1</v>
      </c>
      <c r="F440" s="136">
        <v>2</v>
      </c>
      <c r="G440" s="137"/>
      <c r="H440" s="138"/>
      <c r="I440" s="139" t="s">
        <v>910</v>
      </c>
    </row>
    <row r="441" spans="1:9" ht="17.25" x14ac:dyDescent="0.35">
      <c r="A441" s="140"/>
      <c r="B441" s="136"/>
      <c r="C441" s="137"/>
      <c r="D441" s="136" t="s">
        <v>261</v>
      </c>
      <c r="E441" s="136">
        <v>1</v>
      </c>
      <c r="F441" s="136">
        <v>0</v>
      </c>
      <c r="G441" s="137"/>
      <c r="H441" s="138"/>
      <c r="I441" s="139" t="s">
        <v>911</v>
      </c>
    </row>
    <row r="442" spans="1:9" ht="17.25" x14ac:dyDescent="0.35">
      <c r="A442" s="140"/>
      <c r="B442" s="136"/>
      <c r="C442" s="137"/>
      <c r="D442" s="136" t="s">
        <v>261</v>
      </c>
      <c r="E442" s="136">
        <v>1</v>
      </c>
      <c r="F442" s="136">
        <v>1</v>
      </c>
      <c r="G442" s="137"/>
      <c r="H442" s="138"/>
      <c r="I442" s="139" t="s">
        <v>912</v>
      </c>
    </row>
    <row r="443" spans="1:9" ht="17.25" x14ac:dyDescent="0.35">
      <c r="A443" s="140"/>
      <c r="B443" s="136"/>
      <c r="C443" s="137"/>
      <c r="D443" s="136" t="s">
        <v>261</v>
      </c>
      <c r="E443" s="136">
        <v>1</v>
      </c>
      <c r="F443" s="136">
        <v>0</v>
      </c>
      <c r="G443" s="137"/>
      <c r="H443" s="138"/>
      <c r="I443" s="139" t="s">
        <v>913</v>
      </c>
    </row>
    <row r="444" spans="1:9" ht="17.25" x14ac:dyDescent="0.35">
      <c r="A444" s="140"/>
      <c r="B444" s="136"/>
      <c r="C444" s="137"/>
      <c r="D444" s="136" t="s">
        <v>261</v>
      </c>
      <c r="E444" s="136">
        <v>1</v>
      </c>
      <c r="F444" s="136">
        <v>1</v>
      </c>
      <c r="G444" s="137"/>
      <c r="H444" s="138"/>
      <c r="I444" s="139" t="s">
        <v>914</v>
      </c>
    </row>
    <row r="445" spans="1:9" ht="17.25" x14ac:dyDescent="0.35">
      <c r="A445" s="140"/>
      <c r="B445" s="136"/>
      <c r="C445" s="137"/>
      <c r="D445" s="136" t="s">
        <v>262</v>
      </c>
      <c r="E445" s="136">
        <v>128</v>
      </c>
      <c r="F445" s="136"/>
      <c r="G445" s="137"/>
      <c r="H445" s="138"/>
      <c r="I445" s="139" t="s">
        <v>915</v>
      </c>
    </row>
    <row r="446" spans="1:9" ht="17.25" x14ac:dyDescent="0.35">
      <c r="A446" s="140"/>
      <c r="B446" s="136"/>
      <c r="C446" s="137"/>
      <c r="D446" s="136" t="s">
        <v>262</v>
      </c>
      <c r="E446" s="136">
        <v>128</v>
      </c>
      <c r="F446" s="136"/>
      <c r="G446" s="137"/>
      <c r="H446" s="138"/>
      <c r="I446" s="139" t="s">
        <v>916</v>
      </c>
    </row>
    <row r="447" spans="1:9" ht="17.25" x14ac:dyDescent="0.35">
      <c r="A447" s="140"/>
      <c r="B447" s="136"/>
      <c r="C447" s="137"/>
      <c r="D447" s="136" t="s">
        <v>261</v>
      </c>
      <c r="E447" s="136">
        <v>1</v>
      </c>
      <c r="F447" s="136"/>
      <c r="G447" s="137"/>
      <c r="H447" s="138"/>
      <c r="I447" s="139" t="s">
        <v>917</v>
      </c>
    </row>
    <row r="448" spans="1:9" ht="17.25" x14ac:dyDescent="0.35">
      <c r="A448" s="140"/>
      <c r="B448" s="136"/>
      <c r="C448" s="137"/>
      <c r="D448" s="136" t="s">
        <v>261</v>
      </c>
      <c r="E448" s="136">
        <v>1</v>
      </c>
      <c r="F448" s="136"/>
      <c r="G448" s="137"/>
      <c r="H448" s="138"/>
      <c r="I448" s="139" t="s">
        <v>918</v>
      </c>
    </row>
    <row r="449" spans="1:9" ht="17.25" x14ac:dyDescent="0.35">
      <c r="A449" s="140"/>
      <c r="B449" s="136"/>
      <c r="C449" s="137"/>
      <c r="D449" s="136" t="s">
        <v>261</v>
      </c>
      <c r="E449" s="136">
        <v>1</v>
      </c>
      <c r="F449" s="136"/>
      <c r="G449" s="137"/>
      <c r="H449" s="138"/>
      <c r="I449" s="139" t="s">
        <v>919</v>
      </c>
    </row>
    <row r="450" spans="1:9" ht="17.25" x14ac:dyDescent="0.35">
      <c r="A450" s="140"/>
      <c r="B450" s="136"/>
      <c r="C450" s="137"/>
      <c r="D450" s="136" t="s">
        <v>261</v>
      </c>
      <c r="E450" s="136">
        <v>1</v>
      </c>
      <c r="F450" s="136"/>
      <c r="G450" s="137"/>
      <c r="H450" s="138"/>
      <c r="I450" s="139" t="s">
        <v>920</v>
      </c>
    </row>
    <row r="451" spans="1:9" ht="17.25" x14ac:dyDescent="0.35">
      <c r="A451" s="140"/>
      <c r="B451" s="136"/>
      <c r="C451" s="137"/>
      <c r="D451" s="136" t="s">
        <v>261</v>
      </c>
      <c r="E451" s="136">
        <v>1</v>
      </c>
      <c r="F451" s="136"/>
      <c r="G451" s="137"/>
      <c r="H451" s="138"/>
      <c r="I451" s="139" t="s">
        <v>921</v>
      </c>
    </row>
    <row r="452" spans="1:9" ht="17.25" x14ac:dyDescent="0.35">
      <c r="A452" s="140"/>
      <c r="B452" s="136"/>
      <c r="C452" s="137"/>
      <c r="D452" s="136" t="s">
        <v>261</v>
      </c>
      <c r="E452" s="136">
        <v>1</v>
      </c>
      <c r="F452" s="136"/>
      <c r="G452" s="137"/>
      <c r="H452" s="138"/>
      <c r="I452" s="139" t="s">
        <v>922</v>
      </c>
    </row>
    <row r="453" spans="1:9" ht="17.25" x14ac:dyDescent="0.35">
      <c r="A453" s="140"/>
      <c r="B453" s="136"/>
      <c r="C453" s="137"/>
      <c r="D453" s="136" t="s">
        <v>261</v>
      </c>
      <c r="E453" s="136">
        <v>4</v>
      </c>
      <c r="F453" s="136">
        <v>20000</v>
      </c>
      <c r="G453" s="137"/>
      <c r="H453" s="138"/>
      <c r="I453" s="139" t="s">
        <v>923</v>
      </c>
    </row>
    <row r="454" spans="1:9" ht="17.25" x14ac:dyDescent="0.35">
      <c r="A454" s="140"/>
      <c r="B454" s="136"/>
      <c r="C454" s="137"/>
      <c r="D454" s="136" t="s">
        <v>261</v>
      </c>
      <c r="E454" s="136">
        <v>4</v>
      </c>
      <c r="F454" s="136"/>
      <c r="G454" s="137"/>
      <c r="H454" s="138"/>
      <c r="I454" s="139" t="s">
        <v>924</v>
      </c>
    </row>
    <row r="455" spans="1:9" ht="17.25" x14ac:dyDescent="0.35">
      <c r="A455" s="157"/>
      <c r="B455" s="158"/>
      <c r="C455" s="159"/>
      <c r="D455" s="159" t="s">
        <v>261</v>
      </c>
      <c r="E455" s="158">
        <v>1</v>
      </c>
      <c r="F455" s="159">
        <v>1</v>
      </c>
      <c r="G455" s="159"/>
      <c r="H455" s="160"/>
      <c r="I455" s="161" t="s">
        <v>925</v>
      </c>
    </row>
    <row r="456" spans="1:9" ht="17.25" x14ac:dyDescent="0.35">
      <c r="A456" s="140"/>
      <c r="B456" s="136"/>
      <c r="C456" s="137"/>
      <c r="D456" s="136" t="s">
        <v>262</v>
      </c>
      <c r="E456" s="136">
        <v>206</v>
      </c>
      <c r="F456" s="136"/>
      <c r="G456" s="137"/>
      <c r="H456" s="138"/>
      <c r="I456" s="139" t="s">
        <v>926</v>
      </c>
    </row>
    <row r="457" spans="1:9" ht="19.5" x14ac:dyDescent="0.4">
      <c r="A457" s="162" t="s">
        <v>781</v>
      </c>
      <c r="B457" s="163" t="s">
        <v>782</v>
      </c>
      <c r="C457" s="164" t="s">
        <v>292</v>
      </c>
      <c r="D457" s="164"/>
      <c r="E457" s="163"/>
      <c r="F457" s="164"/>
      <c r="G457" s="138" t="s">
        <v>432</v>
      </c>
      <c r="H457" s="165"/>
      <c r="I457" s="166">
        <v>67332</v>
      </c>
    </row>
    <row r="458" spans="1:9" ht="19.5" x14ac:dyDescent="0.4">
      <c r="A458" s="167" t="s">
        <v>386</v>
      </c>
      <c r="B458" s="163" t="s">
        <v>386</v>
      </c>
      <c r="C458" s="164"/>
      <c r="D458" s="164" t="s">
        <v>261</v>
      </c>
      <c r="E458" s="163">
        <v>1</v>
      </c>
      <c r="F458" s="164">
        <v>6</v>
      </c>
      <c r="G458" s="164"/>
      <c r="H458" s="165"/>
      <c r="I458" s="166" t="s">
        <v>845</v>
      </c>
    </row>
    <row r="459" spans="1:9" ht="19.5" x14ac:dyDescent="0.4">
      <c r="A459" s="167" t="s">
        <v>386</v>
      </c>
      <c r="B459" s="163" t="s">
        <v>386</v>
      </c>
      <c r="C459" s="164"/>
      <c r="D459" s="164" t="s">
        <v>261</v>
      </c>
      <c r="E459" s="163">
        <v>2</v>
      </c>
      <c r="F459" s="164">
        <v>1400</v>
      </c>
      <c r="G459" s="164"/>
      <c r="H459" s="165"/>
      <c r="I459" s="166" t="s">
        <v>927</v>
      </c>
    </row>
    <row r="460" spans="1:9" ht="19.5" x14ac:dyDescent="0.4">
      <c r="A460" s="167" t="s">
        <v>386</v>
      </c>
      <c r="B460" s="163" t="s">
        <v>386</v>
      </c>
      <c r="C460" s="164"/>
      <c r="D460" s="164" t="s">
        <v>261</v>
      </c>
      <c r="E460" s="163">
        <v>1</v>
      </c>
      <c r="F460" s="164">
        <v>0</v>
      </c>
      <c r="G460" s="164"/>
      <c r="H460" s="165"/>
      <c r="I460" s="166" t="s">
        <v>928</v>
      </c>
    </row>
    <row r="461" spans="1:9" ht="19.5" x14ac:dyDescent="0.4">
      <c r="A461" s="167" t="s">
        <v>386</v>
      </c>
      <c r="B461" s="163" t="s">
        <v>386</v>
      </c>
      <c r="C461" s="164"/>
      <c r="D461" s="164" t="s">
        <v>261</v>
      </c>
      <c r="E461" s="163">
        <v>2</v>
      </c>
      <c r="F461" s="164">
        <v>0</v>
      </c>
      <c r="G461" s="164"/>
      <c r="H461" s="165"/>
      <c r="I461" s="166" t="s">
        <v>929</v>
      </c>
    </row>
    <row r="462" spans="1:9" ht="19.5" x14ac:dyDescent="0.4">
      <c r="A462" s="167" t="s">
        <v>386</v>
      </c>
      <c r="B462" s="163" t="s">
        <v>386</v>
      </c>
      <c r="C462" s="164"/>
      <c r="D462" s="164" t="s">
        <v>261</v>
      </c>
      <c r="E462" s="163">
        <v>1</v>
      </c>
      <c r="F462" s="164">
        <v>0</v>
      </c>
      <c r="G462" s="164"/>
      <c r="H462" s="165"/>
      <c r="I462" s="166" t="s">
        <v>930</v>
      </c>
    </row>
    <row r="463" spans="1:9" ht="19.5" x14ac:dyDescent="0.4">
      <c r="A463" s="167" t="s">
        <v>386</v>
      </c>
      <c r="B463" s="163" t="s">
        <v>386</v>
      </c>
      <c r="C463" s="164"/>
      <c r="D463" s="164" t="s">
        <v>261</v>
      </c>
      <c r="E463" s="163">
        <v>1</v>
      </c>
      <c r="F463" s="164">
        <v>0</v>
      </c>
      <c r="G463" s="164"/>
      <c r="H463" s="165"/>
      <c r="I463" s="166" t="s">
        <v>931</v>
      </c>
    </row>
    <row r="464" spans="1:9" ht="19.5" x14ac:dyDescent="0.4">
      <c r="A464" s="167" t="s">
        <v>386</v>
      </c>
      <c r="B464" s="163" t="s">
        <v>386</v>
      </c>
      <c r="C464" s="164"/>
      <c r="D464" s="164" t="s">
        <v>261</v>
      </c>
      <c r="E464" s="163">
        <v>1</v>
      </c>
      <c r="F464" s="164">
        <v>0</v>
      </c>
      <c r="G464" s="164"/>
      <c r="H464" s="165"/>
      <c r="I464" s="166" t="s">
        <v>932</v>
      </c>
    </row>
    <row r="465" spans="1:9" ht="19.5" x14ac:dyDescent="0.4">
      <c r="A465" s="167" t="s">
        <v>386</v>
      </c>
      <c r="B465" s="163" t="s">
        <v>386</v>
      </c>
      <c r="C465" s="164"/>
      <c r="D465" s="164" t="s">
        <v>261</v>
      </c>
      <c r="E465" s="163">
        <v>1</v>
      </c>
      <c r="F465" s="164">
        <v>0</v>
      </c>
      <c r="G465" s="164"/>
      <c r="H465" s="165"/>
      <c r="I465" s="166" t="s">
        <v>933</v>
      </c>
    </row>
    <row r="466" spans="1:9" ht="19.5" x14ac:dyDescent="0.4">
      <c r="A466" s="167" t="s">
        <v>386</v>
      </c>
      <c r="B466" s="163" t="s">
        <v>386</v>
      </c>
      <c r="C466" s="164"/>
      <c r="D466" s="164" t="s">
        <v>261</v>
      </c>
      <c r="E466" s="163">
        <v>1</v>
      </c>
      <c r="F466" s="164">
        <v>0</v>
      </c>
      <c r="G466" s="164"/>
      <c r="H466" s="165"/>
      <c r="I466" s="166" t="s">
        <v>934</v>
      </c>
    </row>
    <row r="467" spans="1:9" ht="19.5" x14ac:dyDescent="0.4">
      <c r="A467" s="167" t="s">
        <v>386</v>
      </c>
      <c r="B467" s="163" t="s">
        <v>386</v>
      </c>
      <c r="C467" s="164"/>
      <c r="D467" s="164" t="s">
        <v>261</v>
      </c>
      <c r="E467" s="163">
        <v>1</v>
      </c>
      <c r="F467" s="164">
        <v>0</v>
      </c>
      <c r="G467" s="164"/>
      <c r="H467" s="165"/>
      <c r="I467" s="166" t="s">
        <v>935</v>
      </c>
    </row>
    <row r="468" spans="1:9" ht="19.5" x14ac:dyDescent="0.4">
      <c r="A468" s="167" t="s">
        <v>386</v>
      </c>
      <c r="B468" s="163" t="s">
        <v>386</v>
      </c>
      <c r="C468" s="164"/>
      <c r="D468" s="164" t="s">
        <v>261</v>
      </c>
      <c r="E468" s="163">
        <v>2</v>
      </c>
      <c r="F468" s="164">
        <v>0</v>
      </c>
      <c r="G468" s="164"/>
      <c r="H468" s="165"/>
      <c r="I468" s="166" t="s">
        <v>936</v>
      </c>
    </row>
    <row r="469" spans="1:9" ht="19.5" x14ac:dyDescent="0.4">
      <c r="A469" s="167" t="s">
        <v>386</v>
      </c>
      <c r="B469" s="163" t="s">
        <v>386</v>
      </c>
      <c r="C469" s="164"/>
      <c r="D469" s="164" t="s">
        <v>261</v>
      </c>
      <c r="E469" s="163">
        <v>2</v>
      </c>
      <c r="F469" s="164">
        <v>0</v>
      </c>
      <c r="G469" s="164"/>
      <c r="H469" s="165"/>
      <c r="I469" s="166" t="s">
        <v>937</v>
      </c>
    </row>
    <row r="470" spans="1:9" ht="19.5" x14ac:dyDescent="0.4">
      <c r="A470" s="167" t="s">
        <v>386</v>
      </c>
      <c r="B470" s="163" t="s">
        <v>386</v>
      </c>
      <c r="C470" s="164"/>
      <c r="D470" s="164" t="s">
        <v>261</v>
      </c>
      <c r="E470" s="163">
        <v>1</v>
      </c>
      <c r="F470" s="164">
        <v>0</v>
      </c>
      <c r="G470" s="164"/>
      <c r="H470" s="165"/>
      <c r="I470" s="166" t="s">
        <v>938</v>
      </c>
    </row>
    <row r="471" spans="1:9" ht="19.5" x14ac:dyDescent="0.4">
      <c r="A471" s="167" t="s">
        <v>386</v>
      </c>
      <c r="B471" s="163" t="s">
        <v>386</v>
      </c>
      <c r="C471" s="164"/>
      <c r="D471" s="164" t="s">
        <v>261</v>
      </c>
      <c r="E471" s="163">
        <v>1</v>
      </c>
      <c r="F471" s="164">
        <v>0</v>
      </c>
      <c r="G471" s="164"/>
      <c r="H471" s="165"/>
      <c r="I471" s="166" t="s">
        <v>939</v>
      </c>
    </row>
    <row r="472" spans="1:9" ht="19.5" x14ac:dyDescent="0.4">
      <c r="A472" s="167" t="s">
        <v>386</v>
      </c>
      <c r="B472" s="163" t="s">
        <v>386</v>
      </c>
      <c r="C472" s="164"/>
      <c r="D472" s="164" t="s">
        <v>261</v>
      </c>
      <c r="E472" s="163">
        <v>1</v>
      </c>
      <c r="F472" s="164">
        <v>0</v>
      </c>
      <c r="G472" s="164"/>
      <c r="H472" s="165"/>
      <c r="I472" s="166" t="s">
        <v>940</v>
      </c>
    </row>
    <row r="473" spans="1:9" ht="19.5" x14ac:dyDescent="0.4">
      <c r="A473" s="167" t="s">
        <v>386</v>
      </c>
      <c r="B473" s="163" t="s">
        <v>386</v>
      </c>
      <c r="C473" s="164"/>
      <c r="D473" s="164" t="s">
        <v>261</v>
      </c>
      <c r="E473" s="163">
        <v>1</v>
      </c>
      <c r="F473" s="164">
        <v>0</v>
      </c>
      <c r="G473" s="164"/>
      <c r="H473" s="165"/>
      <c r="I473" s="166" t="s">
        <v>941</v>
      </c>
    </row>
    <row r="474" spans="1:9" ht="19.5" x14ac:dyDescent="0.4">
      <c r="A474" s="167" t="s">
        <v>386</v>
      </c>
      <c r="B474" s="163" t="s">
        <v>386</v>
      </c>
      <c r="C474" s="164"/>
      <c r="D474" s="164" t="s">
        <v>261</v>
      </c>
      <c r="E474" s="163">
        <v>1</v>
      </c>
      <c r="F474" s="164">
        <v>100</v>
      </c>
      <c r="G474" s="164"/>
      <c r="H474" s="165"/>
      <c r="I474" s="166" t="s">
        <v>942</v>
      </c>
    </row>
    <row r="475" spans="1:9" ht="19.5" x14ac:dyDescent="0.4">
      <c r="A475" s="167" t="s">
        <v>386</v>
      </c>
      <c r="B475" s="163" t="s">
        <v>386</v>
      </c>
      <c r="C475" s="164"/>
      <c r="D475" s="164" t="s">
        <v>261</v>
      </c>
      <c r="E475" s="163">
        <v>1</v>
      </c>
      <c r="F475" s="164">
        <v>40</v>
      </c>
      <c r="G475" s="164"/>
      <c r="H475" s="165"/>
      <c r="I475" s="166" t="s">
        <v>943</v>
      </c>
    </row>
    <row r="476" spans="1:9" ht="19.5" x14ac:dyDescent="0.4">
      <c r="A476" s="167" t="s">
        <v>386</v>
      </c>
      <c r="B476" s="163" t="s">
        <v>386</v>
      </c>
      <c r="C476" s="164"/>
      <c r="D476" s="164" t="s">
        <v>261</v>
      </c>
      <c r="E476" s="163">
        <v>1</v>
      </c>
      <c r="F476" s="164">
        <v>0</v>
      </c>
      <c r="G476" s="164"/>
      <c r="H476" s="165"/>
      <c r="I476" s="166" t="s">
        <v>944</v>
      </c>
    </row>
    <row r="477" spans="1:9" ht="19.5" x14ac:dyDescent="0.4">
      <c r="A477" s="167" t="s">
        <v>386</v>
      </c>
      <c r="B477" s="163" t="s">
        <v>386</v>
      </c>
      <c r="C477" s="164"/>
      <c r="D477" s="164" t="s">
        <v>261</v>
      </c>
      <c r="E477" s="163">
        <v>1</v>
      </c>
      <c r="F477" s="164">
        <v>0</v>
      </c>
      <c r="G477" s="164"/>
      <c r="H477" s="165"/>
      <c r="I477" s="166" t="s">
        <v>945</v>
      </c>
    </row>
    <row r="478" spans="1:9" ht="19.5" x14ac:dyDescent="0.4">
      <c r="A478" s="167" t="s">
        <v>386</v>
      </c>
      <c r="B478" s="163" t="s">
        <v>386</v>
      </c>
      <c r="C478" s="164"/>
      <c r="D478" s="164" t="s">
        <v>261</v>
      </c>
      <c r="E478" s="163">
        <v>1</v>
      </c>
      <c r="F478" s="164">
        <v>0</v>
      </c>
      <c r="G478" s="164"/>
      <c r="H478" s="165"/>
      <c r="I478" s="166" t="s">
        <v>946</v>
      </c>
    </row>
    <row r="479" spans="1:9" ht="19.5" x14ac:dyDescent="0.4">
      <c r="A479" s="167" t="s">
        <v>386</v>
      </c>
      <c r="B479" s="163" t="s">
        <v>386</v>
      </c>
      <c r="C479" s="164"/>
      <c r="D479" s="164" t="s">
        <v>261</v>
      </c>
      <c r="E479" s="163">
        <v>1</v>
      </c>
      <c r="F479" s="164">
        <v>20</v>
      </c>
      <c r="G479" s="164"/>
      <c r="H479" s="165"/>
      <c r="I479" s="166" t="s">
        <v>947</v>
      </c>
    </row>
    <row r="480" spans="1:9" ht="19.5" x14ac:dyDescent="0.4">
      <c r="A480" s="167" t="s">
        <v>386</v>
      </c>
      <c r="B480" s="163" t="s">
        <v>386</v>
      </c>
      <c r="C480" s="164"/>
      <c r="D480" s="164" t="s">
        <v>261</v>
      </c>
      <c r="E480" s="163">
        <v>2</v>
      </c>
      <c r="F480" s="164">
        <v>5</v>
      </c>
      <c r="G480" s="164"/>
      <c r="H480" s="165"/>
      <c r="I480" s="166" t="s">
        <v>948</v>
      </c>
    </row>
    <row r="481" spans="1:9" ht="19.5" x14ac:dyDescent="0.4">
      <c r="A481" s="167" t="s">
        <v>386</v>
      </c>
      <c r="B481" s="163" t="s">
        <v>386</v>
      </c>
      <c r="C481" s="164"/>
      <c r="D481" s="164" t="s">
        <v>261</v>
      </c>
      <c r="E481" s="163">
        <v>2</v>
      </c>
      <c r="F481" s="164">
        <v>60</v>
      </c>
      <c r="G481" s="164"/>
      <c r="H481" s="165"/>
      <c r="I481" s="166" t="s">
        <v>949</v>
      </c>
    </row>
    <row r="482" spans="1:9" ht="19.5" x14ac:dyDescent="0.4">
      <c r="A482" s="167" t="s">
        <v>386</v>
      </c>
      <c r="B482" s="163" t="s">
        <v>386</v>
      </c>
      <c r="C482" s="164"/>
      <c r="D482" s="164" t="s">
        <v>261</v>
      </c>
      <c r="E482" s="163">
        <v>2</v>
      </c>
      <c r="F482" s="164">
        <v>60</v>
      </c>
      <c r="G482" s="164"/>
      <c r="H482" s="165"/>
      <c r="I482" s="166" t="s">
        <v>950</v>
      </c>
    </row>
    <row r="483" spans="1:9" ht="19.5" x14ac:dyDescent="0.4">
      <c r="A483" s="167" t="s">
        <v>386</v>
      </c>
      <c r="B483" s="163" t="s">
        <v>386</v>
      </c>
      <c r="C483" s="164"/>
      <c r="D483" s="164" t="s">
        <v>261</v>
      </c>
      <c r="E483" s="163">
        <v>2</v>
      </c>
      <c r="F483" s="164" t="s">
        <v>951</v>
      </c>
      <c r="G483" s="164"/>
      <c r="H483" s="165"/>
      <c r="I483" s="166" t="s">
        <v>952</v>
      </c>
    </row>
    <row r="484" spans="1:9" ht="19.5" x14ac:dyDescent="0.4">
      <c r="A484" s="167" t="s">
        <v>386</v>
      </c>
      <c r="B484" s="163" t="s">
        <v>386</v>
      </c>
      <c r="C484" s="164"/>
      <c r="D484" s="164" t="s">
        <v>261</v>
      </c>
      <c r="E484" s="163">
        <v>1</v>
      </c>
      <c r="F484" s="164"/>
      <c r="G484" s="164"/>
      <c r="H484" s="165"/>
      <c r="I484" s="166" t="s">
        <v>953</v>
      </c>
    </row>
    <row r="485" spans="1:9" ht="19.5" x14ac:dyDescent="0.4">
      <c r="A485" s="167" t="s">
        <v>386</v>
      </c>
      <c r="B485" s="163" t="s">
        <v>386</v>
      </c>
      <c r="C485" s="164"/>
      <c r="D485" s="164" t="s">
        <v>261</v>
      </c>
      <c r="E485" s="163">
        <v>1</v>
      </c>
      <c r="F485" s="164"/>
      <c r="G485" s="164"/>
      <c r="H485" s="165"/>
      <c r="I485" s="166" t="s">
        <v>954</v>
      </c>
    </row>
    <row r="486" spans="1:9" ht="19.5" x14ac:dyDescent="0.4">
      <c r="A486" s="167" t="s">
        <v>386</v>
      </c>
      <c r="B486" s="163" t="s">
        <v>386</v>
      </c>
      <c r="C486" s="164"/>
      <c r="D486" s="164" t="s">
        <v>261</v>
      </c>
      <c r="E486" s="163">
        <v>1</v>
      </c>
      <c r="F486" s="164"/>
      <c r="G486" s="164"/>
      <c r="H486" s="165"/>
      <c r="I486" s="166" t="s">
        <v>955</v>
      </c>
    </row>
    <row r="487" spans="1:9" ht="19.5" x14ac:dyDescent="0.4">
      <c r="A487" s="167" t="s">
        <v>386</v>
      </c>
      <c r="B487" s="163" t="s">
        <v>386</v>
      </c>
      <c r="C487" s="164"/>
      <c r="D487" s="164" t="s">
        <v>261</v>
      </c>
      <c r="E487" s="163">
        <v>2</v>
      </c>
      <c r="F487" s="164"/>
      <c r="G487" s="164"/>
      <c r="H487" s="165"/>
      <c r="I487" s="166" t="s">
        <v>956</v>
      </c>
    </row>
    <row r="488" spans="1:9" ht="19.5" x14ac:dyDescent="0.4">
      <c r="A488" s="167"/>
      <c r="B488" s="163"/>
      <c r="C488" s="164"/>
      <c r="D488" s="164" t="s">
        <v>261</v>
      </c>
      <c r="E488" s="163">
        <v>1</v>
      </c>
      <c r="F488" s="164">
        <v>3</v>
      </c>
      <c r="G488" s="164"/>
      <c r="H488" s="165"/>
      <c r="I488" s="166" t="s">
        <v>957</v>
      </c>
    </row>
    <row r="489" spans="1:9" ht="19.5" x14ac:dyDescent="0.4">
      <c r="A489" s="167"/>
      <c r="B489" s="163"/>
      <c r="C489" s="164"/>
      <c r="D489" s="164" t="s">
        <v>261</v>
      </c>
      <c r="E489" s="163">
        <v>1</v>
      </c>
      <c r="F489" s="164"/>
      <c r="G489" s="164"/>
      <c r="H489" s="165"/>
      <c r="I489" s="166" t="s">
        <v>958</v>
      </c>
    </row>
    <row r="490" spans="1:9" ht="19.5" x14ac:dyDescent="0.4">
      <c r="A490" s="167"/>
      <c r="B490" s="163"/>
      <c r="C490" s="164"/>
      <c r="D490" s="164" t="s">
        <v>261</v>
      </c>
      <c r="E490" s="163">
        <v>1</v>
      </c>
      <c r="F490" s="164"/>
      <c r="G490" s="164"/>
      <c r="H490" s="165"/>
      <c r="I490" s="166" t="s">
        <v>959</v>
      </c>
    </row>
    <row r="491" spans="1:9" ht="19.5" x14ac:dyDescent="0.4">
      <c r="A491" s="167"/>
      <c r="B491" s="163"/>
      <c r="C491" s="164"/>
      <c r="D491" s="164" t="s">
        <v>261</v>
      </c>
      <c r="E491" s="163">
        <v>4</v>
      </c>
      <c r="F491" s="164">
        <v>46</v>
      </c>
      <c r="G491" s="164"/>
      <c r="H491" s="165"/>
      <c r="I491" s="166" t="s">
        <v>960</v>
      </c>
    </row>
    <row r="492" spans="1:9" ht="19.5" x14ac:dyDescent="0.4">
      <c r="A492" s="167"/>
      <c r="B492" s="163"/>
      <c r="C492" s="164"/>
      <c r="D492" s="164" t="s">
        <v>261</v>
      </c>
      <c r="E492" s="163">
        <v>4</v>
      </c>
      <c r="F492" s="164">
        <v>46</v>
      </c>
      <c r="G492" s="164"/>
      <c r="H492" s="165"/>
      <c r="I492" s="166" t="s">
        <v>961</v>
      </c>
    </row>
    <row r="493" spans="1:9" ht="19.5" x14ac:dyDescent="0.4">
      <c r="A493" s="167"/>
      <c r="B493" s="163"/>
      <c r="C493" s="164"/>
      <c r="D493" s="164" t="s">
        <v>261</v>
      </c>
      <c r="E493" s="163">
        <v>1</v>
      </c>
      <c r="F493" s="164"/>
      <c r="G493" s="164"/>
      <c r="H493" s="165"/>
      <c r="I493" s="166" t="s">
        <v>962</v>
      </c>
    </row>
    <row r="494" spans="1:9" ht="19.5" x14ac:dyDescent="0.4">
      <c r="A494" s="167"/>
      <c r="B494" s="163"/>
      <c r="C494" s="164"/>
      <c r="D494" s="164" t="s">
        <v>261</v>
      </c>
      <c r="E494" s="163">
        <v>484</v>
      </c>
      <c r="F494" s="164"/>
      <c r="G494" s="164"/>
      <c r="H494" s="165"/>
      <c r="I494" s="166" t="s">
        <v>963</v>
      </c>
    </row>
    <row r="495" spans="1:9" ht="17.25" x14ac:dyDescent="0.35">
      <c r="A495" s="129" t="s">
        <v>964</v>
      </c>
      <c r="B495" s="136" t="s">
        <v>965</v>
      </c>
      <c r="C495" s="137" t="s">
        <v>292</v>
      </c>
      <c r="D495" s="136"/>
      <c r="E495" s="136"/>
      <c r="F495" s="136"/>
      <c r="G495" s="138" t="s">
        <v>432</v>
      </c>
      <c r="H495" s="138"/>
      <c r="I495" s="139">
        <v>67257</v>
      </c>
    </row>
    <row r="496" spans="1:9" ht="17.25" x14ac:dyDescent="0.35">
      <c r="A496" s="140" t="s">
        <v>386</v>
      </c>
      <c r="B496" s="136" t="s">
        <v>386</v>
      </c>
      <c r="C496" s="137"/>
      <c r="D496" s="136" t="s">
        <v>261</v>
      </c>
      <c r="E496" s="136">
        <v>1</v>
      </c>
      <c r="F496" s="136">
        <v>0</v>
      </c>
      <c r="G496" s="137"/>
      <c r="H496" s="138"/>
      <c r="I496" s="139" t="s">
        <v>966</v>
      </c>
    </row>
    <row r="497" spans="1:9" ht="17.25" x14ac:dyDescent="0.35">
      <c r="A497" s="140" t="s">
        <v>386</v>
      </c>
      <c r="B497" s="136" t="s">
        <v>386</v>
      </c>
      <c r="C497" s="137"/>
      <c r="D497" s="136" t="s">
        <v>261</v>
      </c>
      <c r="E497" s="136">
        <v>1</v>
      </c>
      <c r="F497" s="136">
        <v>1</v>
      </c>
      <c r="G497" s="137"/>
      <c r="H497" s="138"/>
      <c r="I497" s="139" t="s">
        <v>967</v>
      </c>
    </row>
    <row r="498" spans="1:9" ht="17.25" x14ac:dyDescent="0.35">
      <c r="A498" s="140" t="s">
        <v>386</v>
      </c>
      <c r="B498" s="136" t="s">
        <v>386</v>
      </c>
      <c r="C498" s="137"/>
      <c r="D498" s="136" t="s">
        <v>261</v>
      </c>
      <c r="E498" s="136">
        <v>1</v>
      </c>
      <c r="F498" s="136">
        <v>1</v>
      </c>
      <c r="G498" s="137"/>
      <c r="H498" s="138"/>
      <c r="I498" s="139" t="s">
        <v>968</v>
      </c>
    </row>
    <row r="499" spans="1:9" ht="17.25" x14ac:dyDescent="0.35">
      <c r="A499" s="140" t="s">
        <v>386</v>
      </c>
      <c r="B499" s="136" t="s">
        <v>386</v>
      </c>
      <c r="C499" s="137"/>
      <c r="D499" s="136" t="s">
        <v>262</v>
      </c>
      <c r="E499" s="136">
        <v>128</v>
      </c>
      <c r="F499" s="136" t="s">
        <v>969</v>
      </c>
      <c r="G499" s="137"/>
      <c r="H499" s="138"/>
      <c r="I499" s="139" t="s">
        <v>970</v>
      </c>
    </row>
    <row r="500" spans="1:9" ht="17.25" x14ac:dyDescent="0.35">
      <c r="A500" s="153" t="s">
        <v>386</v>
      </c>
      <c r="B500" s="149" t="s">
        <v>386</v>
      </c>
      <c r="C500" s="150"/>
      <c r="D500" s="149" t="s">
        <v>261</v>
      </c>
      <c r="E500" s="149">
        <v>2</v>
      </c>
      <c r="F500" s="149">
        <v>1800</v>
      </c>
      <c r="G500" s="150"/>
      <c r="H500" s="151"/>
      <c r="I500" s="152" t="s">
        <v>971</v>
      </c>
    </row>
    <row r="501" spans="1:9" ht="17.25" x14ac:dyDescent="0.35">
      <c r="A501" s="140" t="s">
        <v>386</v>
      </c>
      <c r="B501" s="136" t="s">
        <v>386</v>
      </c>
      <c r="C501" s="137"/>
      <c r="D501" s="136" t="s">
        <v>261</v>
      </c>
      <c r="E501" s="136">
        <v>2</v>
      </c>
      <c r="F501" s="136">
        <v>600</v>
      </c>
      <c r="G501" s="137"/>
      <c r="H501" s="138"/>
      <c r="I501" s="139" t="s">
        <v>972</v>
      </c>
    </row>
    <row r="502" spans="1:9" ht="17.25" x14ac:dyDescent="0.35">
      <c r="A502" s="140" t="s">
        <v>386</v>
      </c>
      <c r="B502" s="136" t="s">
        <v>386</v>
      </c>
      <c r="C502" s="137"/>
      <c r="D502" s="136" t="s">
        <v>261</v>
      </c>
      <c r="E502" s="136">
        <v>1</v>
      </c>
      <c r="F502" s="136">
        <v>0</v>
      </c>
      <c r="G502" s="137"/>
      <c r="H502" s="138"/>
      <c r="I502" s="139" t="s">
        <v>973</v>
      </c>
    </row>
    <row r="503" spans="1:9" ht="17.25" x14ac:dyDescent="0.35">
      <c r="A503" s="140" t="s">
        <v>386</v>
      </c>
      <c r="B503" s="136" t="s">
        <v>386</v>
      </c>
      <c r="C503" s="137"/>
      <c r="D503" s="136" t="s">
        <v>262</v>
      </c>
      <c r="E503" s="136">
        <v>128</v>
      </c>
      <c r="F503" s="219" t="s">
        <v>1272</v>
      </c>
      <c r="G503" s="137"/>
      <c r="H503" s="138"/>
      <c r="I503" s="139" t="s">
        <v>974</v>
      </c>
    </row>
    <row r="504" spans="1:9" ht="17.25" x14ac:dyDescent="0.35">
      <c r="A504" s="140" t="s">
        <v>386</v>
      </c>
      <c r="B504" s="136" t="s">
        <v>386</v>
      </c>
      <c r="C504" s="137"/>
      <c r="D504" s="136" t="s">
        <v>261</v>
      </c>
      <c r="E504" s="136">
        <v>1</v>
      </c>
      <c r="F504" s="136">
        <v>1</v>
      </c>
      <c r="G504" s="137"/>
      <c r="H504" s="138"/>
      <c r="I504" s="139" t="s">
        <v>975</v>
      </c>
    </row>
    <row r="505" spans="1:9" ht="17.25" x14ac:dyDescent="0.35">
      <c r="A505" s="140" t="s">
        <v>386</v>
      </c>
      <c r="B505" s="136" t="s">
        <v>386</v>
      </c>
      <c r="C505" s="137"/>
      <c r="D505" s="136" t="s">
        <v>261</v>
      </c>
      <c r="E505" s="136">
        <v>2</v>
      </c>
      <c r="F505" s="136">
        <v>1800</v>
      </c>
      <c r="G505" s="137"/>
      <c r="H505" s="138"/>
      <c r="I505" s="139" t="s">
        <v>976</v>
      </c>
    </row>
    <row r="506" spans="1:9" ht="17.25" x14ac:dyDescent="0.35">
      <c r="A506" s="140" t="s">
        <v>386</v>
      </c>
      <c r="B506" s="136" t="s">
        <v>386</v>
      </c>
      <c r="C506" s="137"/>
      <c r="D506" s="136" t="s">
        <v>261</v>
      </c>
      <c r="E506" s="136">
        <v>1</v>
      </c>
      <c r="F506" s="136">
        <v>0</v>
      </c>
      <c r="G506" s="137"/>
      <c r="H506" s="138"/>
      <c r="I506" s="139" t="s">
        <v>977</v>
      </c>
    </row>
    <row r="507" spans="1:9" ht="17.25" x14ac:dyDescent="0.35">
      <c r="A507" s="140" t="s">
        <v>386</v>
      </c>
      <c r="B507" s="136" t="s">
        <v>386</v>
      </c>
      <c r="C507" s="137"/>
      <c r="D507" s="136" t="s">
        <v>261</v>
      </c>
      <c r="E507" s="136">
        <v>1</v>
      </c>
      <c r="F507" s="136">
        <v>1</v>
      </c>
      <c r="G507" s="137"/>
      <c r="H507" s="138"/>
      <c r="I507" s="139" t="s">
        <v>978</v>
      </c>
    </row>
    <row r="508" spans="1:9" ht="17.25" x14ac:dyDescent="0.35">
      <c r="A508" s="140" t="s">
        <v>386</v>
      </c>
      <c r="B508" s="136" t="s">
        <v>386</v>
      </c>
      <c r="C508" s="137"/>
      <c r="D508" s="136" t="s">
        <v>262</v>
      </c>
      <c r="E508" s="136">
        <v>128</v>
      </c>
      <c r="F508" s="136"/>
      <c r="G508" s="137"/>
      <c r="H508" s="138"/>
      <c r="I508" s="139" t="s">
        <v>979</v>
      </c>
    </row>
    <row r="509" spans="1:9" ht="17.25" x14ac:dyDescent="0.35">
      <c r="A509" s="140"/>
      <c r="B509" s="136"/>
      <c r="C509" s="137"/>
      <c r="D509" s="136"/>
      <c r="E509" s="136"/>
      <c r="F509" s="136"/>
      <c r="G509" s="137"/>
      <c r="H509" s="138"/>
      <c r="I509" s="139"/>
    </row>
    <row r="510" spans="1:9" ht="17.25" x14ac:dyDescent="0.35">
      <c r="A510" s="129" t="s">
        <v>980</v>
      </c>
      <c r="B510" s="136" t="s">
        <v>981</v>
      </c>
      <c r="C510" s="137" t="s">
        <v>292</v>
      </c>
      <c r="D510" s="136"/>
      <c r="E510" s="136"/>
      <c r="F510" s="136"/>
      <c r="G510" s="138" t="s">
        <v>432</v>
      </c>
      <c r="H510" s="138"/>
      <c r="I510" s="139">
        <v>65959</v>
      </c>
    </row>
    <row r="511" spans="1:9" ht="17.25" x14ac:dyDescent="0.35">
      <c r="A511" s="140" t="s">
        <v>386</v>
      </c>
      <c r="B511" s="136" t="s">
        <v>386</v>
      </c>
      <c r="C511" s="137"/>
      <c r="D511" s="136" t="s">
        <v>261</v>
      </c>
      <c r="E511" s="136">
        <v>2</v>
      </c>
      <c r="F511" s="136">
        <v>16</v>
      </c>
      <c r="G511" s="137"/>
      <c r="H511" s="138"/>
      <c r="I511" s="139"/>
    </row>
    <row r="512" spans="1:9" ht="17.25" x14ac:dyDescent="0.35">
      <c r="A512" s="129" t="s">
        <v>982</v>
      </c>
      <c r="B512" s="136" t="s">
        <v>983</v>
      </c>
      <c r="C512" s="137" t="s">
        <v>292</v>
      </c>
      <c r="D512" s="136"/>
      <c r="E512" s="136"/>
      <c r="F512" s="136"/>
      <c r="G512" s="138" t="s">
        <v>432</v>
      </c>
      <c r="H512" s="138"/>
      <c r="I512" s="139">
        <v>69750</v>
      </c>
    </row>
    <row r="513" spans="1:9" ht="17.25" x14ac:dyDescent="0.35">
      <c r="A513" s="140"/>
      <c r="B513" s="136"/>
      <c r="C513" s="137"/>
      <c r="D513" s="136" t="s">
        <v>261</v>
      </c>
      <c r="E513" s="136">
        <v>1</v>
      </c>
      <c r="F513" s="136">
        <v>3</v>
      </c>
      <c r="G513" s="137"/>
      <c r="H513" s="138"/>
      <c r="I513" s="139" t="s">
        <v>898</v>
      </c>
    </row>
    <row r="514" spans="1:9" ht="17.25" x14ac:dyDescent="0.35">
      <c r="A514" s="140"/>
      <c r="B514" s="136"/>
      <c r="C514" s="137"/>
      <c r="D514" s="136" t="s">
        <v>261</v>
      </c>
      <c r="E514" s="136">
        <v>1</v>
      </c>
      <c r="F514" s="136">
        <v>0</v>
      </c>
      <c r="G514" s="137"/>
      <c r="H514" s="138"/>
      <c r="I514" s="139" t="s">
        <v>984</v>
      </c>
    </row>
    <row r="515" spans="1:9" ht="17.25" x14ac:dyDescent="0.35">
      <c r="A515" s="140"/>
      <c r="B515" s="136"/>
      <c r="C515" s="137"/>
      <c r="D515" s="136" t="s">
        <v>261</v>
      </c>
      <c r="E515" s="136">
        <v>1</v>
      </c>
      <c r="F515" s="136">
        <v>2</v>
      </c>
      <c r="G515" s="137"/>
      <c r="H515" s="138"/>
      <c r="I515" s="139" t="s">
        <v>985</v>
      </c>
    </row>
    <row r="516" spans="1:9" ht="17.25" x14ac:dyDescent="0.35">
      <c r="A516" s="140"/>
      <c r="B516" s="136"/>
      <c r="C516" s="137"/>
      <c r="D516" s="136" t="s">
        <v>261</v>
      </c>
      <c r="E516" s="136">
        <v>4</v>
      </c>
      <c r="F516" s="136">
        <v>0</v>
      </c>
      <c r="G516" s="137"/>
      <c r="H516" s="138"/>
      <c r="I516" s="139" t="s">
        <v>986</v>
      </c>
    </row>
    <row r="517" spans="1:9" ht="17.25" x14ac:dyDescent="0.35">
      <c r="A517" s="140"/>
      <c r="B517" s="136"/>
      <c r="C517" s="137"/>
      <c r="D517" s="136" t="s">
        <v>261</v>
      </c>
      <c r="E517" s="136">
        <v>1</v>
      </c>
      <c r="F517" s="136">
        <v>1</v>
      </c>
      <c r="G517" s="137"/>
      <c r="H517" s="138"/>
      <c r="I517" s="139" t="s">
        <v>987</v>
      </c>
    </row>
    <row r="518" spans="1:9" ht="17.25" x14ac:dyDescent="0.35">
      <c r="A518" s="140"/>
      <c r="B518" s="136"/>
      <c r="C518" s="137"/>
      <c r="D518" s="136" t="s">
        <v>261</v>
      </c>
      <c r="E518" s="136">
        <v>1</v>
      </c>
      <c r="F518" s="136">
        <v>1</v>
      </c>
      <c r="G518" s="137"/>
      <c r="H518" s="138"/>
      <c r="I518" s="139" t="s">
        <v>988</v>
      </c>
    </row>
    <row r="519" spans="1:9" ht="17.25" x14ac:dyDescent="0.35">
      <c r="A519" s="140"/>
      <c r="B519" s="136"/>
      <c r="C519" s="137"/>
      <c r="D519" s="136" t="s">
        <v>261</v>
      </c>
      <c r="E519" s="136">
        <v>1</v>
      </c>
      <c r="F519" s="136">
        <v>6</v>
      </c>
      <c r="G519" s="137"/>
      <c r="H519" s="138"/>
      <c r="I519" s="139" t="s">
        <v>989</v>
      </c>
    </row>
    <row r="520" spans="1:9" ht="17.25" x14ac:dyDescent="0.35">
      <c r="A520" s="140"/>
      <c r="B520" s="136"/>
      <c r="C520" s="137"/>
      <c r="D520" s="136" t="s">
        <v>261</v>
      </c>
      <c r="E520" s="136">
        <v>502</v>
      </c>
      <c r="F520" s="136">
        <v>0</v>
      </c>
      <c r="G520" s="137"/>
      <c r="H520" s="138"/>
      <c r="I520" s="139" t="s">
        <v>926</v>
      </c>
    </row>
    <row r="521" spans="1:9" ht="17.25" x14ac:dyDescent="0.35">
      <c r="A521" s="129" t="s">
        <v>990</v>
      </c>
      <c r="B521" s="136" t="s">
        <v>991</v>
      </c>
      <c r="C521" s="137" t="s">
        <v>292</v>
      </c>
      <c r="D521" s="136"/>
      <c r="E521" s="136"/>
      <c r="F521" s="136"/>
      <c r="G521" s="138" t="s">
        <v>432</v>
      </c>
      <c r="H521" s="138"/>
      <c r="I521" s="139">
        <v>70202</v>
      </c>
    </row>
    <row r="522" spans="1:9" ht="17.25" x14ac:dyDescent="0.35">
      <c r="A522" s="140"/>
      <c r="B522" s="136"/>
      <c r="C522" s="137"/>
      <c r="D522" s="136" t="s">
        <v>261</v>
      </c>
      <c r="E522" s="136">
        <v>1</v>
      </c>
      <c r="F522" s="136">
        <v>1</v>
      </c>
      <c r="G522" s="137"/>
      <c r="H522" s="138"/>
      <c r="I522" s="139"/>
    </row>
    <row r="523" spans="1:9" ht="17.25" x14ac:dyDescent="0.35">
      <c r="A523" s="129" t="s">
        <v>992</v>
      </c>
      <c r="B523" s="136" t="s">
        <v>993</v>
      </c>
      <c r="C523" s="137" t="s">
        <v>292</v>
      </c>
      <c r="D523" s="136"/>
      <c r="E523" s="136"/>
      <c r="F523" s="136"/>
      <c r="G523" s="138" t="s">
        <v>432</v>
      </c>
      <c r="H523" s="138"/>
      <c r="I523" s="139">
        <v>65955</v>
      </c>
    </row>
    <row r="524" spans="1:9" ht="17.25" x14ac:dyDescent="0.35">
      <c r="A524" s="140" t="s">
        <v>386</v>
      </c>
      <c r="B524" s="136" t="s">
        <v>386</v>
      </c>
      <c r="C524" s="137"/>
      <c r="D524" s="136" t="s">
        <v>261</v>
      </c>
      <c r="E524" s="136">
        <v>1</v>
      </c>
      <c r="F524" s="136">
        <v>1</v>
      </c>
      <c r="G524" s="137"/>
      <c r="H524" s="138"/>
      <c r="I524" s="139"/>
    </row>
    <row r="525" spans="1:9" ht="17.25" x14ac:dyDescent="0.35">
      <c r="A525" s="129" t="s">
        <v>994</v>
      </c>
      <c r="B525" s="136" t="s">
        <v>995</v>
      </c>
      <c r="C525" s="137" t="s">
        <v>292</v>
      </c>
      <c r="D525" s="136"/>
      <c r="E525" s="136"/>
      <c r="F525" s="136"/>
      <c r="G525" s="138" t="s">
        <v>432</v>
      </c>
      <c r="H525" s="138"/>
      <c r="I525" s="139">
        <v>65957</v>
      </c>
    </row>
    <row r="526" spans="1:9" ht="17.25" x14ac:dyDescent="0.35">
      <c r="A526" s="140" t="s">
        <v>386</v>
      </c>
      <c r="B526" s="136" t="s">
        <v>386</v>
      </c>
      <c r="C526" s="137"/>
      <c r="D526" s="136" t="s">
        <v>261</v>
      </c>
      <c r="E526" s="136">
        <v>1</v>
      </c>
      <c r="F526" s="136">
        <v>1</v>
      </c>
      <c r="G526" s="137"/>
      <c r="H526" s="138"/>
      <c r="I526" s="139"/>
    </row>
    <row r="527" spans="1:9" ht="17.25" x14ac:dyDescent="0.35">
      <c r="A527" s="129" t="s">
        <v>996</v>
      </c>
      <c r="B527" s="136" t="s">
        <v>997</v>
      </c>
      <c r="C527" s="137" t="s">
        <v>292</v>
      </c>
      <c r="D527" s="136"/>
      <c r="E527" s="136"/>
      <c r="F527" s="136"/>
      <c r="G527" s="138" t="s">
        <v>432</v>
      </c>
      <c r="H527" s="138"/>
      <c r="I527" s="139">
        <v>67194</v>
      </c>
    </row>
    <row r="528" spans="1:9" ht="51.75" x14ac:dyDescent="0.35">
      <c r="A528" s="140"/>
      <c r="B528" s="136"/>
      <c r="C528" s="137"/>
      <c r="D528" s="136" t="s">
        <v>261</v>
      </c>
      <c r="E528" s="136">
        <v>4</v>
      </c>
      <c r="F528" s="136">
        <v>20</v>
      </c>
      <c r="G528" s="137"/>
      <c r="H528" s="138"/>
      <c r="I528" s="139" t="s">
        <v>998</v>
      </c>
    </row>
    <row r="529" spans="1:9" ht="17.25" x14ac:dyDescent="0.35">
      <c r="A529" s="129" t="s">
        <v>999</v>
      </c>
      <c r="B529" s="136" t="s">
        <v>1000</v>
      </c>
      <c r="C529" s="137" t="s">
        <v>292</v>
      </c>
      <c r="D529" s="136"/>
      <c r="E529" s="136"/>
      <c r="F529" s="136"/>
      <c r="G529" s="138" t="s">
        <v>432</v>
      </c>
      <c r="H529" s="138"/>
      <c r="I529" s="139">
        <v>67195</v>
      </c>
    </row>
    <row r="530" spans="1:9" ht="17.25" x14ac:dyDescent="0.35">
      <c r="A530" s="140"/>
      <c r="B530" s="136"/>
      <c r="C530" s="137"/>
      <c r="D530" s="136" t="s">
        <v>261</v>
      </c>
      <c r="E530" s="136">
        <v>4</v>
      </c>
      <c r="F530" s="136">
        <v>5</v>
      </c>
      <c r="G530" s="137"/>
      <c r="H530" s="138"/>
      <c r="I530" s="139"/>
    </row>
    <row r="531" spans="1:9" ht="17.25" x14ac:dyDescent="0.35">
      <c r="A531" s="129" t="s">
        <v>1001</v>
      </c>
      <c r="B531" s="136" t="s">
        <v>1002</v>
      </c>
      <c r="C531" s="137" t="s">
        <v>292</v>
      </c>
      <c r="D531" s="136"/>
      <c r="E531" s="136"/>
      <c r="F531" s="136"/>
      <c r="G531" s="138" t="s">
        <v>432</v>
      </c>
      <c r="H531" s="138"/>
      <c r="I531" s="139">
        <v>67199</v>
      </c>
    </row>
    <row r="532" spans="1:9" ht="17.25" x14ac:dyDescent="0.35">
      <c r="A532" s="140" t="s">
        <v>386</v>
      </c>
      <c r="B532" s="136" t="s">
        <v>386</v>
      </c>
      <c r="C532" s="137"/>
      <c r="D532" s="136" t="s">
        <v>261</v>
      </c>
      <c r="E532" s="136">
        <v>1</v>
      </c>
      <c r="F532" s="136">
        <v>1</v>
      </c>
      <c r="G532" s="137"/>
      <c r="H532" s="138"/>
      <c r="I532" s="139"/>
    </row>
    <row r="533" spans="1:9" ht="17.25" x14ac:dyDescent="0.35">
      <c r="A533" s="129" t="s">
        <v>1003</v>
      </c>
      <c r="B533" s="136" t="s">
        <v>1004</v>
      </c>
      <c r="C533" s="137" t="s">
        <v>292</v>
      </c>
      <c r="D533" s="136"/>
      <c r="E533" s="136"/>
      <c r="F533" s="136"/>
      <c r="G533" s="138" t="s">
        <v>432</v>
      </c>
      <c r="H533" s="138"/>
      <c r="I533" s="139">
        <v>67280</v>
      </c>
    </row>
    <row r="534" spans="1:9" ht="17.25" x14ac:dyDescent="0.35">
      <c r="A534" s="140" t="s">
        <v>386</v>
      </c>
      <c r="B534" s="136" t="s">
        <v>386</v>
      </c>
      <c r="C534" s="137"/>
      <c r="D534" s="136" t="s">
        <v>261</v>
      </c>
      <c r="E534" s="136">
        <v>4</v>
      </c>
      <c r="F534" s="136">
        <v>45000</v>
      </c>
      <c r="G534" s="137"/>
      <c r="H534" s="138"/>
      <c r="I534" s="139"/>
    </row>
    <row r="535" spans="1:9" ht="17.25" x14ac:dyDescent="0.35">
      <c r="A535" s="129" t="s">
        <v>1005</v>
      </c>
      <c r="B535" s="136" t="s">
        <v>1006</v>
      </c>
      <c r="C535" s="137" t="s">
        <v>292</v>
      </c>
      <c r="D535" s="136"/>
      <c r="E535" s="136"/>
      <c r="F535" s="136"/>
      <c r="G535" s="138" t="s">
        <v>432</v>
      </c>
      <c r="H535" s="138"/>
      <c r="I535" s="139">
        <v>67281</v>
      </c>
    </row>
    <row r="536" spans="1:9" ht="17.25" x14ac:dyDescent="0.35">
      <c r="A536" s="140" t="s">
        <v>386</v>
      </c>
      <c r="B536" s="136" t="s">
        <v>386</v>
      </c>
      <c r="C536" s="137"/>
      <c r="D536" s="136" t="s">
        <v>261</v>
      </c>
      <c r="E536" s="136">
        <v>4</v>
      </c>
      <c r="F536" s="136">
        <v>90000</v>
      </c>
      <c r="G536" s="137"/>
      <c r="H536" s="138"/>
      <c r="I536" s="139"/>
    </row>
    <row r="537" spans="1:9" ht="17.25" x14ac:dyDescent="0.35">
      <c r="A537" s="129" t="s">
        <v>1007</v>
      </c>
      <c r="B537" s="136" t="s">
        <v>1008</v>
      </c>
      <c r="C537" s="137" t="s">
        <v>292</v>
      </c>
      <c r="D537" s="136"/>
      <c r="E537" s="136"/>
      <c r="F537" s="136"/>
      <c r="G537" s="138" t="s">
        <v>432</v>
      </c>
      <c r="H537" s="138"/>
      <c r="I537" s="139">
        <v>67282</v>
      </c>
    </row>
    <row r="538" spans="1:9" ht="17.25" x14ac:dyDescent="0.35">
      <c r="A538" s="140" t="s">
        <v>386</v>
      </c>
      <c r="B538" s="136" t="s">
        <v>386</v>
      </c>
      <c r="C538" s="137"/>
      <c r="D538" s="136" t="s">
        <v>261</v>
      </c>
      <c r="E538" s="136">
        <v>4</v>
      </c>
      <c r="F538" s="136">
        <v>20</v>
      </c>
      <c r="G538" s="137"/>
      <c r="H538" s="138"/>
      <c r="I538" s="139"/>
    </row>
    <row r="539" spans="1:9" ht="17.25" x14ac:dyDescent="0.35">
      <c r="A539" s="129" t="s">
        <v>1009</v>
      </c>
      <c r="B539" s="136" t="s">
        <v>1010</v>
      </c>
      <c r="C539" s="137" t="s">
        <v>292</v>
      </c>
      <c r="D539" s="136"/>
      <c r="E539" s="136"/>
      <c r="F539" s="136"/>
      <c r="G539" s="138" t="s">
        <v>432</v>
      </c>
      <c r="H539" s="138"/>
      <c r="I539" s="139">
        <v>65964</v>
      </c>
    </row>
    <row r="540" spans="1:9" ht="17.25" x14ac:dyDescent="0.35">
      <c r="A540" s="140" t="s">
        <v>386</v>
      </c>
      <c r="B540" s="136" t="s">
        <v>386</v>
      </c>
      <c r="C540" s="137"/>
      <c r="D540" s="136" t="s">
        <v>261</v>
      </c>
      <c r="E540" s="136">
        <v>1</v>
      </c>
      <c r="F540" s="136">
        <v>1</v>
      </c>
      <c r="G540" s="137"/>
      <c r="H540" s="138"/>
      <c r="I540" s="139"/>
    </row>
    <row r="541" spans="1:9" ht="17.25" x14ac:dyDescent="0.35">
      <c r="A541" s="129" t="s">
        <v>1011</v>
      </c>
      <c r="B541" s="136" t="s">
        <v>1012</v>
      </c>
      <c r="C541" s="137" t="s">
        <v>292</v>
      </c>
      <c r="D541" s="136"/>
      <c r="E541" s="136"/>
      <c r="F541" s="136"/>
      <c r="G541" s="138" t="s">
        <v>432</v>
      </c>
      <c r="H541" s="138"/>
      <c r="I541" s="139">
        <v>65960</v>
      </c>
    </row>
    <row r="542" spans="1:9" ht="17.25" x14ac:dyDescent="0.35">
      <c r="A542" s="140" t="s">
        <v>386</v>
      </c>
      <c r="B542" s="136" t="s">
        <v>386</v>
      </c>
      <c r="C542" s="137"/>
      <c r="D542" s="136" t="s">
        <v>261</v>
      </c>
      <c r="E542" s="136">
        <v>1</v>
      </c>
      <c r="F542" s="136">
        <v>0</v>
      </c>
      <c r="G542" s="137"/>
      <c r="H542" s="138"/>
      <c r="I542" s="139"/>
    </row>
    <row r="543" spans="1:9" ht="17.25" x14ac:dyDescent="0.35">
      <c r="A543" s="129" t="s">
        <v>1013</v>
      </c>
      <c r="B543" s="136" t="s">
        <v>1014</v>
      </c>
      <c r="C543" s="137" t="s">
        <v>292</v>
      </c>
      <c r="D543" s="136"/>
      <c r="E543" s="136"/>
      <c r="F543" s="136"/>
      <c r="G543" s="138" t="s">
        <v>432</v>
      </c>
      <c r="H543" s="138"/>
      <c r="I543" s="139">
        <v>66031</v>
      </c>
    </row>
    <row r="544" spans="1:9" ht="17.25" x14ac:dyDescent="0.35">
      <c r="A544" s="140" t="s">
        <v>386</v>
      </c>
      <c r="B544" s="136" t="s">
        <v>386</v>
      </c>
      <c r="C544" s="137"/>
      <c r="D544" s="136" t="s">
        <v>261</v>
      </c>
      <c r="E544" s="136">
        <v>4</v>
      </c>
      <c r="F544" s="136">
        <v>0</v>
      </c>
      <c r="G544" s="137"/>
      <c r="H544" s="138"/>
      <c r="I544" s="139"/>
    </row>
    <row r="545" spans="1:9" ht="17.25" x14ac:dyDescent="0.35">
      <c r="A545" s="129" t="s">
        <v>1015</v>
      </c>
      <c r="B545" s="136" t="s">
        <v>1016</v>
      </c>
      <c r="C545" s="137" t="s">
        <v>292</v>
      </c>
      <c r="D545" s="136"/>
      <c r="E545" s="136"/>
      <c r="F545" s="136"/>
      <c r="G545" s="138" t="s">
        <v>432</v>
      </c>
      <c r="H545" s="138"/>
      <c r="I545" s="139">
        <v>67239</v>
      </c>
    </row>
    <row r="546" spans="1:9" ht="17.25" x14ac:dyDescent="0.35">
      <c r="A546" s="140" t="s">
        <v>386</v>
      </c>
      <c r="B546" s="136" t="s">
        <v>386</v>
      </c>
      <c r="C546" s="137"/>
      <c r="D546" s="136" t="s">
        <v>261</v>
      </c>
      <c r="E546" s="136">
        <v>4</v>
      </c>
      <c r="F546" s="136">
        <v>0</v>
      </c>
      <c r="G546" s="137"/>
      <c r="H546" s="138"/>
      <c r="I546" s="139"/>
    </row>
    <row r="547" spans="1:9" ht="17.25" x14ac:dyDescent="0.35">
      <c r="A547" s="129" t="s">
        <v>1017</v>
      </c>
      <c r="B547" s="136" t="s">
        <v>1018</v>
      </c>
      <c r="C547" s="137" t="s">
        <v>292</v>
      </c>
      <c r="D547" s="136"/>
      <c r="E547" s="136"/>
      <c r="F547" s="136"/>
      <c r="G547" s="138" t="s">
        <v>432</v>
      </c>
      <c r="H547" s="138"/>
      <c r="I547" s="139">
        <v>67240</v>
      </c>
    </row>
    <row r="548" spans="1:9" ht="17.25" x14ac:dyDescent="0.35">
      <c r="A548" s="140" t="s">
        <v>386</v>
      </c>
      <c r="B548" s="136" t="s">
        <v>386</v>
      </c>
      <c r="C548" s="137"/>
      <c r="D548" s="136" t="s">
        <v>261</v>
      </c>
      <c r="E548" s="136">
        <v>1</v>
      </c>
      <c r="F548" s="136">
        <v>0</v>
      </c>
      <c r="G548" s="137"/>
      <c r="H548" s="138"/>
      <c r="I548" s="139"/>
    </row>
    <row r="549" spans="1:9" ht="17.25" x14ac:dyDescent="0.35">
      <c r="A549" s="129" t="s">
        <v>1019</v>
      </c>
      <c r="B549" s="136" t="s">
        <v>1020</v>
      </c>
      <c r="C549" s="137" t="s">
        <v>292</v>
      </c>
      <c r="D549" s="136"/>
      <c r="E549" s="136"/>
      <c r="F549" s="136"/>
      <c r="G549" s="138" t="s">
        <v>432</v>
      </c>
      <c r="H549" s="138"/>
      <c r="I549" s="139">
        <v>67241</v>
      </c>
    </row>
    <row r="550" spans="1:9" ht="17.25" x14ac:dyDescent="0.35">
      <c r="A550" s="140" t="s">
        <v>386</v>
      </c>
      <c r="B550" s="136" t="s">
        <v>386</v>
      </c>
      <c r="C550" s="137"/>
      <c r="D550" s="136" t="s">
        <v>261</v>
      </c>
      <c r="E550" s="136">
        <v>1</v>
      </c>
      <c r="F550" s="136">
        <v>0</v>
      </c>
      <c r="G550" s="137"/>
      <c r="H550" s="138"/>
      <c r="I550" s="139"/>
    </row>
    <row r="551" spans="1:9" ht="17.25" x14ac:dyDescent="0.35">
      <c r="A551" s="129" t="s">
        <v>1021</v>
      </c>
      <c r="B551" s="136" t="s">
        <v>1022</v>
      </c>
      <c r="C551" s="137" t="s">
        <v>292</v>
      </c>
      <c r="D551" s="136"/>
      <c r="E551" s="136"/>
      <c r="F551" s="136"/>
      <c r="G551" s="138" t="s">
        <v>432</v>
      </c>
      <c r="H551" s="138"/>
      <c r="I551" s="139">
        <v>70213</v>
      </c>
    </row>
    <row r="552" spans="1:9" ht="17.25" x14ac:dyDescent="0.35">
      <c r="A552" s="140"/>
      <c r="B552" s="136"/>
      <c r="C552" s="137"/>
      <c r="D552" s="136" t="s">
        <v>261</v>
      </c>
      <c r="E552" s="136">
        <v>2</v>
      </c>
      <c r="F552" s="136">
        <v>-115</v>
      </c>
      <c r="G552" s="137"/>
      <c r="H552" s="138"/>
      <c r="I552" s="139"/>
    </row>
    <row r="553" spans="1:9" ht="17.25" x14ac:dyDescent="0.35">
      <c r="A553" s="129" t="s">
        <v>1023</v>
      </c>
      <c r="B553" s="136" t="s">
        <v>1024</v>
      </c>
      <c r="C553" s="137" t="s">
        <v>292</v>
      </c>
      <c r="D553" s="136"/>
      <c r="E553" s="136"/>
      <c r="F553" s="136"/>
      <c r="G553" s="138" t="s">
        <v>432</v>
      </c>
      <c r="H553" s="138"/>
      <c r="I553" s="139">
        <v>70291</v>
      </c>
    </row>
    <row r="554" spans="1:9" ht="17.25" x14ac:dyDescent="0.35">
      <c r="A554" s="140"/>
      <c r="B554" s="136"/>
      <c r="C554" s="137"/>
      <c r="D554" s="136" t="s">
        <v>261</v>
      </c>
      <c r="E554" s="136">
        <v>1</v>
      </c>
      <c r="F554" s="136">
        <v>0</v>
      </c>
      <c r="G554" s="137"/>
      <c r="H554" s="138"/>
      <c r="I554" s="139" t="s">
        <v>845</v>
      </c>
    </row>
    <row r="555" spans="1:9" ht="17.25" x14ac:dyDescent="0.35">
      <c r="A555" s="140"/>
      <c r="B555" s="136"/>
      <c r="C555" s="137"/>
      <c r="D555" s="136" t="s">
        <v>261</v>
      </c>
      <c r="E555" s="136">
        <v>1</v>
      </c>
      <c r="F555" s="136">
        <v>0</v>
      </c>
      <c r="G555" s="137"/>
      <c r="H555" s="138"/>
      <c r="I555" s="139" t="s">
        <v>1025</v>
      </c>
    </row>
    <row r="556" spans="1:9" ht="17.25" x14ac:dyDescent="0.35">
      <c r="A556" s="140"/>
      <c r="B556" s="136"/>
      <c r="C556" s="137"/>
      <c r="D556" s="136" t="s">
        <v>261</v>
      </c>
      <c r="E556" s="136">
        <v>2</v>
      </c>
      <c r="F556" s="136">
        <v>0</v>
      </c>
      <c r="G556" s="137"/>
      <c r="H556" s="138"/>
      <c r="I556" s="139" t="s">
        <v>1026</v>
      </c>
    </row>
    <row r="557" spans="1:9" ht="17.25" x14ac:dyDescent="0.35">
      <c r="A557" s="140"/>
      <c r="B557" s="136"/>
      <c r="C557" s="137"/>
      <c r="D557" s="136" t="s">
        <v>261</v>
      </c>
      <c r="E557" s="136">
        <v>1</v>
      </c>
      <c r="F557" s="136">
        <v>0</v>
      </c>
      <c r="G557" s="137"/>
      <c r="H557" s="138"/>
      <c r="I557" s="139" t="s">
        <v>1027</v>
      </c>
    </row>
    <row r="558" spans="1:9" ht="17.25" x14ac:dyDescent="0.35">
      <c r="A558" s="140"/>
      <c r="B558" s="136"/>
      <c r="C558" s="137"/>
      <c r="D558" s="136" t="s">
        <v>261</v>
      </c>
      <c r="E558" s="136">
        <v>1</v>
      </c>
      <c r="F558" s="136">
        <v>0</v>
      </c>
      <c r="G558" s="137"/>
      <c r="H558" s="138"/>
      <c r="I558" s="139" t="s">
        <v>1028</v>
      </c>
    </row>
    <row r="559" spans="1:9" ht="17.25" x14ac:dyDescent="0.35">
      <c r="A559" s="140"/>
      <c r="B559" s="136"/>
      <c r="C559" s="137"/>
      <c r="D559" s="136" t="s">
        <v>261</v>
      </c>
      <c r="E559" s="136">
        <v>1</v>
      </c>
      <c r="F559" s="136">
        <v>0</v>
      </c>
      <c r="G559" s="137"/>
      <c r="H559" s="138"/>
      <c r="I559" s="139" t="s">
        <v>1029</v>
      </c>
    </row>
    <row r="560" spans="1:9" ht="17.25" x14ac:dyDescent="0.35">
      <c r="A560" s="140"/>
      <c r="B560" s="136"/>
      <c r="C560" s="137"/>
      <c r="D560" s="136" t="s">
        <v>261</v>
      </c>
      <c r="E560" s="136">
        <v>1</v>
      </c>
      <c r="F560" s="136">
        <v>0</v>
      </c>
      <c r="G560" s="137"/>
      <c r="H560" s="138"/>
      <c r="I560" s="139" t="s">
        <v>1030</v>
      </c>
    </row>
    <row r="561" spans="1:9" ht="17.25" x14ac:dyDescent="0.35">
      <c r="A561" s="140"/>
      <c r="B561" s="136"/>
      <c r="C561" s="137"/>
      <c r="D561" s="136" t="s">
        <v>261</v>
      </c>
      <c r="E561" s="136">
        <v>2</v>
      </c>
      <c r="F561" s="136">
        <v>0</v>
      </c>
      <c r="G561" s="137"/>
      <c r="H561" s="138"/>
      <c r="I561" s="139" t="s">
        <v>1031</v>
      </c>
    </row>
    <row r="562" spans="1:9" ht="17.25" x14ac:dyDescent="0.35">
      <c r="A562" s="140"/>
      <c r="B562" s="136"/>
      <c r="C562" s="137"/>
      <c r="D562" s="136" t="s">
        <v>261</v>
      </c>
      <c r="E562" s="136">
        <v>2</v>
      </c>
      <c r="F562" s="136">
        <v>0</v>
      </c>
      <c r="G562" s="137"/>
      <c r="H562" s="138"/>
      <c r="I562" s="139" t="s">
        <v>1032</v>
      </c>
    </row>
    <row r="563" spans="1:9" ht="17.25" x14ac:dyDescent="0.35">
      <c r="A563" s="140"/>
      <c r="B563" s="136"/>
      <c r="C563" s="137"/>
      <c r="D563" s="136" t="s">
        <v>261</v>
      </c>
      <c r="E563" s="136">
        <v>4</v>
      </c>
      <c r="F563" s="136">
        <v>0</v>
      </c>
      <c r="G563" s="137"/>
      <c r="H563" s="138"/>
      <c r="I563" s="139" t="s">
        <v>1033</v>
      </c>
    </row>
    <row r="564" spans="1:9" ht="17.25" x14ac:dyDescent="0.35">
      <c r="A564" s="140"/>
      <c r="B564" s="136"/>
      <c r="C564" s="137"/>
      <c r="D564" s="136" t="s">
        <v>261</v>
      </c>
      <c r="E564" s="136">
        <v>4</v>
      </c>
      <c r="F564" s="136">
        <v>0</v>
      </c>
      <c r="G564" s="137"/>
      <c r="H564" s="138"/>
      <c r="I564" s="139" t="s">
        <v>1034</v>
      </c>
    </row>
    <row r="565" spans="1:9" ht="17.25" x14ac:dyDescent="0.35">
      <c r="A565" s="140"/>
      <c r="B565" s="136"/>
      <c r="C565" s="137"/>
      <c r="D565" s="136" t="s">
        <v>261</v>
      </c>
      <c r="E565" s="136">
        <v>1</v>
      </c>
      <c r="F565" s="136">
        <v>0</v>
      </c>
      <c r="G565" s="137"/>
      <c r="H565" s="138"/>
      <c r="I565" s="139" t="s">
        <v>1035</v>
      </c>
    </row>
    <row r="566" spans="1:9" ht="17.25" x14ac:dyDescent="0.35">
      <c r="A566" s="140"/>
      <c r="B566" s="136"/>
      <c r="C566" s="137"/>
      <c r="D566" s="136" t="s">
        <v>261</v>
      </c>
      <c r="E566" s="136">
        <v>15</v>
      </c>
      <c r="F566" s="136">
        <v>0</v>
      </c>
      <c r="G566" s="137"/>
      <c r="H566" s="138"/>
      <c r="I566" s="139" t="s">
        <v>1036</v>
      </c>
    </row>
    <row r="567" spans="1:9" ht="17.25" x14ac:dyDescent="0.35">
      <c r="A567" s="140"/>
      <c r="B567" s="136"/>
      <c r="C567" s="137"/>
      <c r="D567" s="136" t="s">
        <v>261</v>
      </c>
      <c r="E567" s="136">
        <v>1</v>
      </c>
      <c r="F567" s="136">
        <v>15</v>
      </c>
      <c r="G567" s="137"/>
      <c r="H567" s="138"/>
      <c r="I567" s="139" t="s">
        <v>1037</v>
      </c>
    </row>
    <row r="568" spans="1:9" ht="17.25" x14ac:dyDescent="0.35">
      <c r="A568" s="140"/>
      <c r="B568" s="136"/>
      <c r="C568" s="137"/>
      <c r="D568" s="136" t="s">
        <v>261</v>
      </c>
      <c r="E568" s="136">
        <v>2</v>
      </c>
      <c r="F568" s="136">
        <v>384</v>
      </c>
      <c r="G568" s="137"/>
      <c r="H568" s="138"/>
      <c r="I568" s="139" t="s">
        <v>1038</v>
      </c>
    </row>
    <row r="569" spans="1:9" ht="17.25" x14ac:dyDescent="0.35">
      <c r="A569" s="140"/>
      <c r="B569" s="136"/>
      <c r="C569" s="137"/>
      <c r="D569" s="136" t="s">
        <v>261</v>
      </c>
      <c r="E569" s="136">
        <v>1</v>
      </c>
      <c r="F569" s="136">
        <v>7</v>
      </c>
      <c r="G569" s="137"/>
      <c r="H569" s="138"/>
      <c r="I569" s="139" t="s">
        <v>1039</v>
      </c>
    </row>
    <row r="570" spans="1:9" ht="17.25" x14ac:dyDescent="0.35">
      <c r="A570" s="140"/>
      <c r="B570" s="136"/>
      <c r="C570" s="137"/>
      <c r="D570" s="136" t="s">
        <v>261</v>
      </c>
      <c r="E570" s="136">
        <v>1</v>
      </c>
      <c r="F570" s="136">
        <v>4</v>
      </c>
      <c r="G570" s="137"/>
      <c r="H570" s="138"/>
      <c r="I570" s="139" t="s">
        <v>1040</v>
      </c>
    </row>
    <row r="571" spans="1:9" ht="17.25" x14ac:dyDescent="0.35">
      <c r="A571" s="140"/>
      <c r="B571" s="136"/>
      <c r="C571" s="137"/>
      <c r="D571" s="136" t="s">
        <v>261</v>
      </c>
      <c r="E571" s="136">
        <v>1</v>
      </c>
      <c r="F571" s="136">
        <v>15</v>
      </c>
      <c r="G571" s="137"/>
      <c r="H571" s="138"/>
      <c r="I571" s="139" t="s">
        <v>1041</v>
      </c>
    </row>
    <row r="572" spans="1:9" ht="17.25" x14ac:dyDescent="0.35">
      <c r="A572" s="140"/>
      <c r="B572" s="136"/>
      <c r="C572" s="137"/>
      <c r="D572" s="136" t="s">
        <v>261</v>
      </c>
      <c r="E572" s="136">
        <v>1</v>
      </c>
      <c r="F572" s="136">
        <v>15</v>
      </c>
      <c r="G572" s="137"/>
      <c r="H572" s="138"/>
      <c r="I572" s="139" t="s">
        <v>1042</v>
      </c>
    </row>
    <row r="573" spans="1:9" ht="17.25" x14ac:dyDescent="0.35">
      <c r="A573" s="168"/>
      <c r="B573" s="136"/>
      <c r="C573" s="137"/>
      <c r="D573" s="136" t="s">
        <v>261</v>
      </c>
      <c r="E573" s="169">
        <v>2</v>
      </c>
      <c r="F573" s="136">
        <v>64</v>
      </c>
      <c r="G573" s="136"/>
      <c r="H573" s="138"/>
      <c r="I573" s="170" t="s">
        <v>1043</v>
      </c>
    </row>
    <row r="574" spans="1:9" ht="17.25" x14ac:dyDescent="0.35">
      <c r="A574" s="168"/>
      <c r="B574" s="136"/>
      <c r="C574" s="137"/>
      <c r="D574" s="136" t="s">
        <v>261</v>
      </c>
      <c r="E574" s="169">
        <v>2</v>
      </c>
      <c r="F574" s="136">
        <v>384</v>
      </c>
      <c r="G574" s="136"/>
      <c r="H574" s="138"/>
      <c r="I574" s="170" t="s">
        <v>1044</v>
      </c>
    </row>
    <row r="575" spans="1:9" ht="17.25" x14ac:dyDescent="0.35">
      <c r="A575" s="168"/>
      <c r="B575" s="136"/>
      <c r="C575" s="137"/>
      <c r="D575" s="136" t="s">
        <v>261</v>
      </c>
      <c r="E575" s="169">
        <v>4</v>
      </c>
      <c r="F575" s="136">
        <v>192</v>
      </c>
      <c r="G575" s="136"/>
      <c r="H575" s="138"/>
      <c r="I575" s="170" t="s">
        <v>1045</v>
      </c>
    </row>
    <row r="576" spans="1:9" ht="17.25" x14ac:dyDescent="0.35">
      <c r="A576" s="140"/>
      <c r="B576" s="136"/>
      <c r="C576" s="137"/>
      <c r="D576" s="136" t="s">
        <v>261</v>
      </c>
      <c r="E576" s="136">
        <v>4</v>
      </c>
      <c r="F576" s="136">
        <v>0</v>
      </c>
      <c r="G576" s="137"/>
      <c r="H576" s="138"/>
      <c r="I576" s="139" t="s">
        <v>1046</v>
      </c>
    </row>
    <row r="577" spans="1:9" ht="17.25" x14ac:dyDescent="0.35">
      <c r="A577" s="140"/>
      <c r="B577" s="136"/>
      <c r="C577" s="137"/>
      <c r="D577" s="136" t="s">
        <v>261</v>
      </c>
      <c r="E577" s="136">
        <v>1</v>
      </c>
      <c r="F577" s="136">
        <v>1</v>
      </c>
      <c r="G577" s="137"/>
      <c r="H577" s="138"/>
      <c r="I577" s="139" t="s">
        <v>1047</v>
      </c>
    </row>
    <row r="578" spans="1:9" ht="17.25" x14ac:dyDescent="0.35">
      <c r="A578" s="140"/>
      <c r="B578" s="136"/>
      <c r="C578" s="137"/>
      <c r="D578" s="136" t="s">
        <v>261</v>
      </c>
      <c r="E578" s="136">
        <v>15</v>
      </c>
      <c r="F578" s="136">
        <v>0</v>
      </c>
      <c r="G578" s="137"/>
      <c r="H578" s="138"/>
      <c r="I578" s="139" t="s">
        <v>1036</v>
      </c>
    </row>
    <row r="579" spans="1:9" ht="17.25" x14ac:dyDescent="0.35">
      <c r="A579" s="140"/>
      <c r="B579" s="136"/>
      <c r="C579" s="137"/>
      <c r="D579" s="136" t="s">
        <v>261</v>
      </c>
      <c r="E579" s="136">
        <v>511</v>
      </c>
      <c r="F579" s="136">
        <v>0</v>
      </c>
      <c r="G579" s="137"/>
      <c r="H579" s="138"/>
      <c r="I579" s="139" t="s">
        <v>1048</v>
      </c>
    </row>
    <row r="580" spans="1:9" ht="18" thickBot="1" x14ac:dyDescent="0.4">
      <c r="A580" s="171" t="s">
        <v>1049</v>
      </c>
      <c r="B580" s="172" t="s">
        <v>1050</v>
      </c>
      <c r="C580" s="173" t="s">
        <v>292</v>
      </c>
      <c r="D580" s="174"/>
      <c r="E580" s="174"/>
      <c r="F580" s="175"/>
      <c r="G580" s="138" t="s">
        <v>432</v>
      </c>
      <c r="H580" s="177"/>
      <c r="I580" s="178" t="s">
        <v>1051</v>
      </c>
    </row>
    <row r="581" spans="1:9" ht="18" thickBot="1" x14ac:dyDescent="0.4">
      <c r="A581" s="179"/>
      <c r="B581" s="180"/>
      <c r="C581" s="175"/>
      <c r="D581" s="181" t="s">
        <v>261</v>
      </c>
      <c r="E581" s="182">
        <v>1</v>
      </c>
      <c r="F581" s="183">
        <v>1</v>
      </c>
      <c r="G581" s="176"/>
      <c r="H581" s="184"/>
      <c r="I581" s="185" t="s">
        <v>898</v>
      </c>
    </row>
    <row r="582" spans="1:9" ht="18.75" thickTop="1" thickBot="1" x14ac:dyDescent="0.4">
      <c r="A582" s="179"/>
      <c r="B582" s="180"/>
      <c r="C582" s="175"/>
      <c r="D582" s="181" t="s">
        <v>261</v>
      </c>
      <c r="E582" s="186">
        <v>1</v>
      </c>
      <c r="F582" s="187">
        <v>1</v>
      </c>
      <c r="G582" s="176"/>
      <c r="H582" s="184"/>
      <c r="I582" s="188" t="s">
        <v>1052</v>
      </c>
    </row>
    <row r="583" spans="1:9" ht="18" thickBot="1" x14ac:dyDescent="0.4">
      <c r="A583" s="179"/>
      <c r="B583" s="180"/>
      <c r="C583" s="175"/>
      <c r="D583" s="172" t="s">
        <v>262</v>
      </c>
      <c r="E583" s="186">
        <v>100</v>
      </c>
      <c r="F583" s="189"/>
      <c r="G583" s="176"/>
      <c r="H583" s="184"/>
      <c r="I583" s="188" t="s">
        <v>1053</v>
      </c>
    </row>
    <row r="584" spans="1:9" ht="18" thickBot="1" x14ac:dyDescent="0.4">
      <c r="A584" s="179"/>
      <c r="B584" s="180"/>
      <c r="C584" s="175"/>
      <c r="D584" s="181" t="s">
        <v>261</v>
      </c>
      <c r="E584" s="186">
        <v>1</v>
      </c>
      <c r="F584" s="187"/>
      <c r="G584" s="176"/>
      <c r="H584" s="184"/>
      <c r="I584" s="188" t="s">
        <v>1054</v>
      </c>
    </row>
    <row r="585" spans="1:9" ht="18" thickBot="1" x14ac:dyDescent="0.4">
      <c r="A585" s="179"/>
      <c r="B585" s="180"/>
      <c r="C585" s="175"/>
      <c r="D585" s="181" t="s">
        <v>261</v>
      </c>
      <c r="E585" s="186">
        <v>1</v>
      </c>
      <c r="F585" s="187"/>
      <c r="G585" s="176"/>
      <c r="H585" s="184"/>
      <c r="I585" s="188" t="s">
        <v>1055</v>
      </c>
    </row>
    <row r="586" spans="1:9" ht="18" thickBot="1" x14ac:dyDescent="0.4">
      <c r="A586" s="179"/>
      <c r="B586" s="180"/>
      <c r="C586" s="175"/>
      <c r="D586" s="181" t="s">
        <v>261</v>
      </c>
      <c r="E586" s="186">
        <v>4</v>
      </c>
      <c r="F586" s="187"/>
      <c r="G586" s="176"/>
      <c r="H586" s="184"/>
      <c r="I586" s="188" t="s">
        <v>1056</v>
      </c>
    </row>
    <row r="587" spans="1:9" ht="18" thickBot="1" x14ac:dyDescent="0.4">
      <c r="A587" s="179"/>
      <c r="B587" s="180"/>
      <c r="C587" s="175"/>
      <c r="D587" s="181" t="s">
        <v>261</v>
      </c>
      <c r="E587" s="186">
        <v>4</v>
      </c>
      <c r="F587" s="187"/>
      <c r="G587" s="176"/>
      <c r="H587" s="184"/>
      <c r="I587" s="188" t="s">
        <v>1057</v>
      </c>
    </row>
    <row r="588" spans="1:9" ht="18" thickBot="1" x14ac:dyDescent="0.4">
      <c r="A588" s="179"/>
      <c r="B588" s="180"/>
      <c r="C588" s="175"/>
      <c r="D588" s="181" t="s">
        <v>261</v>
      </c>
      <c r="E588" s="186">
        <v>2</v>
      </c>
      <c r="F588" s="187"/>
      <c r="G588" s="176"/>
      <c r="H588" s="184"/>
      <c r="I588" s="188" t="s">
        <v>1058</v>
      </c>
    </row>
    <row r="589" spans="1:9" ht="18" thickBot="1" x14ac:dyDescent="0.4">
      <c r="A589" s="179"/>
      <c r="B589" s="180"/>
      <c r="C589" s="175"/>
      <c r="D589" s="181" t="s">
        <v>261</v>
      </c>
      <c r="E589" s="186">
        <v>1</v>
      </c>
      <c r="F589" s="187"/>
      <c r="G589" s="176"/>
      <c r="H589" s="184"/>
      <c r="I589" s="188" t="s">
        <v>1059</v>
      </c>
    </row>
    <row r="590" spans="1:9" ht="18" thickBot="1" x14ac:dyDescent="0.4">
      <c r="A590" s="179"/>
      <c r="B590" s="180"/>
      <c r="C590" s="175"/>
      <c r="D590" s="172" t="s">
        <v>261</v>
      </c>
      <c r="E590" s="186">
        <v>1</v>
      </c>
      <c r="F590" s="190"/>
      <c r="G590" s="176"/>
      <c r="H590" s="184"/>
      <c r="I590" s="188" t="s">
        <v>1060</v>
      </c>
    </row>
    <row r="591" spans="1:9" ht="18" thickBot="1" x14ac:dyDescent="0.4">
      <c r="A591" s="179"/>
      <c r="B591" s="180"/>
      <c r="C591" s="175"/>
      <c r="D591" s="172" t="s">
        <v>262</v>
      </c>
      <c r="E591" s="186">
        <v>64</v>
      </c>
      <c r="F591" s="190"/>
      <c r="G591" s="176"/>
      <c r="H591" s="184"/>
      <c r="I591" s="188" t="s">
        <v>1061</v>
      </c>
    </row>
    <row r="592" spans="1:9" ht="18" thickBot="1" x14ac:dyDescent="0.4">
      <c r="A592" s="179"/>
      <c r="B592" s="180"/>
      <c r="C592" s="175"/>
      <c r="D592" s="172" t="s">
        <v>262</v>
      </c>
      <c r="E592" s="186">
        <v>128</v>
      </c>
      <c r="F592" s="187"/>
      <c r="G592" s="176"/>
      <c r="H592" s="184"/>
      <c r="I592" s="188" t="s">
        <v>1062</v>
      </c>
    </row>
    <row r="593" spans="1:9" ht="18" thickBot="1" x14ac:dyDescent="0.4">
      <c r="A593" s="179"/>
      <c r="B593" s="180"/>
      <c r="C593" s="175"/>
      <c r="D593" s="172" t="s">
        <v>261</v>
      </c>
      <c r="E593" s="186">
        <v>1</v>
      </c>
      <c r="F593" s="190"/>
      <c r="G593" s="176"/>
      <c r="H593" s="184"/>
      <c r="I593" s="188" t="s">
        <v>1063</v>
      </c>
    </row>
    <row r="594" spans="1:9" ht="18" thickBot="1" x14ac:dyDescent="0.4">
      <c r="A594" s="179"/>
      <c r="B594" s="180"/>
      <c r="C594" s="175"/>
      <c r="D594" s="172" t="s">
        <v>262</v>
      </c>
      <c r="E594" s="186">
        <v>100</v>
      </c>
      <c r="F594" s="190"/>
      <c r="G594" s="176"/>
      <c r="H594" s="184"/>
      <c r="I594" s="188" t="s">
        <v>1064</v>
      </c>
    </row>
    <row r="595" spans="1:9" ht="18" thickBot="1" x14ac:dyDescent="0.4">
      <c r="A595" s="179"/>
      <c r="B595" s="180"/>
      <c r="C595" s="175"/>
      <c r="D595" s="172" t="s">
        <v>262</v>
      </c>
      <c r="E595" s="186">
        <v>128</v>
      </c>
      <c r="F595" s="190"/>
      <c r="G595" s="176"/>
      <c r="H595" s="184"/>
      <c r="I595" s="188" t="s">
        <v>1065</v>
      </c>
    </row>
    <row r="596" spans="1:9" ht="18" thickBot="1" x14ac:dyDescent="0.4">
      <c r="A596" s="179"/>
      <c r="B596" s="180"/>
      <c r="C596" s="175"/>
      <c r="D596" s="172" t="s">
        <v>262</v>
      </c>
      <c r="E596" s="186">
        <v>128</v>
      </c>
      <c r="F596" s="190"/>
      <c r="G596" s="176"/>
      <c r="H596" s="184"/>
      <c r="I596" s="188" t="s">
        <v>1066</v>
      </c>
    </row>
    <row r="597" spans="1:9" ht="18" thickBot="1" x14ac:dyDescent="0.4">
      <c r="A597" s="179"/>
      <c r="B597" s="180"/>
      <c r="C597" s="175"/>
      <c r="D597" s="181" t="s">
        <v>262</v>
      </c>
      <c r="E597" s="186">
        <v>128</v>
      </c>
      <c r="F597" s="187"/>
      <c r="G597" s="176"/>
      <c r="H597" s="184"/>
      <c r="I597" s="188" t="s">
        <v>1067</v>
      </c>
    </row>
    <row r="598" spans="1:9" ht="18" thickBot="1" x14ac:dyDescent="0.4">
      <c r="A598" s="179"/>
      <c r="B598" s="180"/>
      <c r="C598" s="175"/>
      <c r="D598" s="181" t="s">
        <v>261</v>
      </c>
      <c r="E598" s="186">
        <v>1</v>
      </c>
      <c r="F598" s="187"/>
      <c r="G598" s="176"/>
      <c r="H598" s="184"/>
      <c r="I598" s="188" t="s">
        <v>1068</v>
      </c>
    </row>
    <row r="599" spans="1:9" ht="18" thickBot="1" x14ac:dyDescent="0.4">
      <c r="A599" s="179"/>
      <c r="B599" s="180"/>
      <c r="C599" s="175"/>
      <c r="D599" s="181" t="s">
        <v>261</v>
      </c>
      <c r="E599" s="186">
        <v>4</v>
      </c>
      <c r="F599" s="187"/>
      <c r="G599" s="176"/>
      <c r="H599" s="184"/>
      <c r="I599" s="188" t="s">
        <v>1069</v>
      </c>
    </row>
    <row r="600" spans="1:9" ht="18" thickBot="1" x14ac:dyDescent="0.4">
      <c r="A600" s="179"/>
      <c r="B600" s="180"/>
      <c r="C600" s="175"/>
      <c r="D600" s="181" t="s">
        <v>261</v>
      </c>
      <c r="E600" s="186">
        <v>1</v>
      </c>
      <c r="F600" s="187"/>
      <c r="G600" s="176"/>
      <c r="H600" s="184"/>
      <c r="I600" s="188" t="s">
        <v>1070</v>
      </c>
    </row>
    <row r="601" spans="1:9" ht="18" thickBot="1" x14ac:dyDescent="0.4">
      <c r="A601" s="179"/>
      <c r="B601" s="180"/>
      <c r="C601" s="175"/>
      <c r="D601" s="181" t="s">
        <v>261</v>
      </c>
      <c r="E601" s="186">
        <v>1</v>
      </c>
      <c r="F601" s="187"/>
      <c r="G601" s="176"/>
      <c r="H601" s="184"/>
      <c r="I601" s="188" t="s">
        <v>1071</v>
      </c>
    </row>
    <row r="602" spans="1:9" ht="18" thickBot="1" x14ac:dyDescent="0.4">
      <c r="A602" s="179"/>
      <c r="B602" s="180"/>
      <c r="C602" s="175"/>
      <c r="D602" s="172" t="s">
        <v>262</v>
      </c>
      <c r="E602" s="186">
        <v>128</v>
      </c>
      <c r="F602" s="191"/>
      <c r="G602" s="176"/>
      <c r="H602" s="184"/>
      <c r="I602" s="188" t="s">
        <v>1072</v>
      </c>
    </row>
    <row r="603" spans="1:9" ht="18" thickBot="1" x14ac:dyDescent="0.4">
      <c r="A603" s="179"/>
      <c r="B603" s="180"/>
      <c r="C603" s="175"/>
      <c r="D603" s="181" t="s">
        <v>261</v>
      </c>
      <c r="E603" s="186">
        <v>1</v>
      </c>
      <c r="F603" s="187"/>
      <c r="G603" s="176"/>
      <c r="H603" s="184"/>
      <c r="I603" s="188" t="s">
        <v>1073</v>
      </c>
    </row>
    <row r="604" spans="1:9" ht="18" thickBot="1" x14ac:dyDescent="0.4">
      <c r="A604" s="179"/>
      <c r="B604" s="180"/>
      <c r="C604" s="175"/>
      <c r="D604" s="181" t="s">
        <v>261</v>
      </c>
      <c r="E604" s="186">
        <v>2</v>
      </c>
      <c r="F604" s="187"/>
      <c r="G604" s="176"/>
      <c r="H604" s="184"/>
      <c r="I604" s="188" t="s">
        <v>1074</v>
      </c>
    </row>
    <row r="605" spans="1:9" ht="18" thickBot="1" x14ac:dyDescent="0.4">
      <c r="A605" s="179"/>
      <c r="B605" s="180"/>
      <c r="C605" s="175"/>
      <c r="D605" s="181" t="s">
        <v>262</v>
      </c>
      <c r="E605" s="186">
        <v>93</v>
      </c>
      <c r="F605" s="187"/>
      <c r="G605" s="176"/>
      <c r="H605" s="184"/>
      <c r="I605" s="188" t="s">
        <v>1075</v>
      </c>
    </row>
    <row r="606" spans="1:9" ht="17.25" x14ac:dyDescent="0.35">
      <c r="A606" s="129" t="s">
        <v>1076</v>
      </c>
      <c r="B606" s="136" t="s">
        <v>1077</v>
      </c>
      <c r="C606" s="137" t="s">
        <v>292</v>
      </c>
      <c r="D606" s="136"/>
      <c r="E606" s="136"/>
      <c r="F606" s="136"/>
      <c r="G606" s="138" t="s">
        <v>432</v>
      </c>
      <c r="H606" s="138"/>
      <c r="I606" s="139">
        <v>70233</v>
      </c>
    </row>
    <row r="607" spans="1:9" ht="17.25" x14ac:dyDescent="0.35">
      <c r="A607" s="140"/>
      <c r="B607" s="136"/>
      <c r="C607" s="137"/>
      <c r="D607" s="136" t="s">
        <v>261</v>
      </c>
      <c r="E607" s="136">
        <v>1</v>
      </c>
      <c r="F607" s="136">
        <v>0</v>
      </c>
      <c r="G607" s="137"/>
      <c r="H607" s="138"/>
      <c r="I607" s="139" t="s">
        <v>1078</v>
      </c>
    </row>
    <row r="608" spans="1:9" ht="17.25" x14ac:dyDescent="0.35">
      <c r="A608" s="140"/>
      <c r="B608" s="136"/>
      <c r="C608" s="137"/>
      <c r="D608" s="136" t="s">
        <v>261</v>
      </c>
      <c r="E608" s="136">
        <v>1</v>
      </c>
      <c r="F608" s="136">
        <v>1</v>
      </c>
      <c r="G608" s="137"/>
      <c r="H608" s="138"/>
      <c r="I608" s="139" t="s">
        <v>1079</v>
      </c>
    </row>
    <row r="609" spans="1:9" ht="17.25" x14ac:dyDescent="0.35">
      <c r="A609" s="140"/>
      <c r="B609" s="136"/>
      <c r="C609" s="137"/>
      <c r="D609" s="136" t="s">
        <v>261</v>
      </c>
      <c r="E609" s="136">
        <v>1</v>
      </c>
      <c r="F609" s="136"/>
      <c r="G609" s="137"/>
      <c r="H609" s="138"/>
      <c r="I609" s="139" t="s">
        <v>1080</v>
      </c>
    </row>
    <row r="610" spans="1:9" ht="17.25" x14ac:dyDescent="0.35">
      <c r="A610" s="140"/>
      <c r="B610" s="136"/>
      <c r="C610" s="137"/>
      <c r="D610" s="136" t="s">
        <v>261</v>
      </c>
      <c r="E610" s="136">
        <v>32</v>
      </c>
      <c r="F610" s="136"/>
      <c r="G610" s="137"/>
      <c r="H610" s="138"/>
      <c r="I610" s="139" t="s">
        <v>1081</v>
      </c>
    </row>
    <row r="611" spans="1:9" ht="17.25" x14ac:dyDescent="0.35">
      <c r="A611" s="140"/>
      <c r="B611" s="136"/>
      <c r="C611" s="137"/>
      <c r="D611" s="136" t="s">
        <v>261</v>
      </c>
      <c r="E611" s="136">
        <v>32</v>
      </c>
      <c r="F611" s="136"/>
      <c r="G611" s="137"/>
      <c r="H611" s="138"/>
      <c r="I611" s="139" t="s">
        <v>1082</v>
      </c>
    </row>
    <row r="612" spans="1:9" ht="17.25" x14ac:dyDescent="0.35">
      <c r="A612" s="140"/>
      <c r="B612" s="136"/>
      <c r="C612" s="137"/>
      <c r="D612" s="136" t="s">
        <v>261</v>
      </c>
      <c r="E612" s="136">
        <v>1</v>
      </c>
      <c r="F612" s="136"/>
      <c r="G612" s="137"/>
      <c r="H612" s="138"/>
      <c r="I612" s="139" t="s">
        <v>1083</v>
      </c>
    </row>
    <row r="613" spans="1:9" ht="17.25" x14ac:dyDescent="0.35">
      <c r="A613" s="140"/>
      <c r="B613" s="136"/>
      <c r="C613" s="137"/>
      <c r="D613" s="136" t="s">
        <v>261</v>
      </c>
      <c r="E613" s="136">
        <v>1</v>
      </c>
      <c r="F613" s="136"/>
      <c r="G613" s="137"/>
      <c r="H613" s="138"/>
      <c r="I613" s="139" t="s">
        <v>1084</v>
      </c>
    </row>
    <row r="614" spans="1:9" ht="17.25" x14ac:dyDescent="0.35">
      <c r="A614" s="140"/>
      <c r="B614" s="136"/>
      <c r="C614" s="137"/>
      <c r="D614" s="136" t="s">
        <v>261</v>
      </c>
      <c r="E614" s="136">
        <v>1</v>
      </c>
      <c r="F614" s="136"/>
      <c r="G614" s="137"/>
      <c r="H614" s="138"/>
      <c r="I614" s="139" t="s">
        <v>1085</v>
      </c>
    </row>
    <row r="615" spans="1:9" ht="17.25" x14ac:dyDescent="0.35">
      <c r="A615" s="140"/>
      <c r="B615" s="136"/>
      <c r="C615" s="137"/>
      <c r="D615" s="136" t="s">
        <v>261</v>
      </c>
      <c r="E615" s="136">
        <v>1</v>
      </c>
      <c r="F615" s="136"/>
      <c r="G615" s="137"/>
      <c r="H615" s="138"/>
      <c r="I615" s="139" t="s">
        <v>1086</v>
      </c>
    </row>
    <row r="616" spans="1:9" ht="17.25" x14ac:dyDescent="0.35">
      <c r="A616" s="140"/>
      <c r="B616" s="136"/>
      <c r="C616" s="137"/>
      <c r="D616" s="136" t="s">
        <v>261</v>
      </c>
      <c r="E616" s="136">
        <v>16</v>
      </c>
      <c r="F616" s="136"/>
      <c r="G616" s="137"/>
      <c r="H616" s="138"/>
      <c r="I616" s="139" t="s">
        <v>1087</v>
      </c>
    </row>
    <row r="617" spans="1:9" ht="17.25" x14ac:dyDescent="0.35">
      <c r="A617" s="140"/>
      <c r="B617" s="136"/>
      <c r="C617" s="137"/>
      <c r="D617" s="136" t="s">
        <v>261</v>
      </c>
      <c r="E617" s="136">
        <v>16</v>
      </c>
      <c r="F617" s="136"/>
      <c r="G617" s="137"/>
      <c r="H617" s="138"/>
      <c r="I617" s="139" t="s">
        <v>1088</v>
      </c>
    </row>
    <row r="618" spans="1:9" ht="17.25" x14ac:dyDescent="0.35">
      <c r="A618" s="140"/>
      <c r="B618" s="136"/>
      <c r="C618" s="137"/>
      <c r="D618" s="136" t="s">
        <v>261</v>
      </c>
      <c r="E618" s="136">
        <v>16</v>
      </c>
      <c r="F618" s="136"/>
      <c r="G618" s="137"/>
      <c r="H618" s="138"/>
      <c r="I618" s="139" t="s">
        <v>1089</v>
      </c>
    </row>
    <row r="619" spans="1:9" ht="17.25" x14ac:dyDescent="0.35">
      <c r="A619" s="140"/>
      <c r="B619" s="136"/>
      <c r="C619" s="137"/>
      <c r="D619" s="136" t="s">
        <v>261</v>
      </c>
      <c r="E619" s="136">
        <v>16</v>
      </c>
      <c r="F619" s="136"/>
      <c r="G619" s="137"/>
      <c r="H619" s="138"/>
      <c r="I619" s="139" t="s">
        <v>1090</v>
      </c>
    </row>
    <row r="620" spans="1:9" ht="17.25" x14ac:dyDescent="0.35">
      <c r="A620" s="140"/>
      <c r="B620" s="136"/>
      <c r="C620" s="137"/>
      <c r="D620" s="136" t="s">
        <v>261</v>
      </c>
      <c r="E620" s="136">
        <v>16</v>
      </c>
      <c r="F620" s="136"/>
      <c r="G620" s="137"/>
      <c r="H620" s="138"/>
      <c r="I620" s="139" t="s">
        <v>1091</v>
      </c>
    </row>
    <row r="621" spans="1:9" ht="17.25" x14ac:dyDescent="0.35">
      <c r="A621" s="140"/>
      <c r="B621" s="136"/>
      <c r="C621" s="137"/>
      <c r="D621" s="136" t="s">
        <v>261</v>
      </c>
      <c r="E621" s="136">
        <v>45</v>
      </c>
      <c r="F621" s="136"/>
      <c r="G621" s="137"/>
      <c r="H621" s="138"/>
      <c r="I621" s="139" t="s">
        <v>1092</v>
      </c>
    </row>
    <row r="622" spans="1:9" ht="17.25" x14ac:dyDescent="0.35">
      <c r="A622" s="140"/>
      <c r="B622" s="136"/>
      <c r="C622" s="137"/>
      <c r="D622" s="136" t="s">
        <v>261</v>
      </c>
      <c r="E622" s="136">
        <v>5</v>
      </c>
      <c r="F622" s="136"/>
      <c r="G622" s="137"/>
      <c r="H622" s="138"/>
      <c r="I622" s="139" t="s">
        <v>1093</v>
      </c>
    </row>
    <row r="623" spans="1:9" ht="17.25" x14ac:dyDescent="0.35">
      <c r="A623" s="140"/>
      <c r="B623" s="136"/>
      <c r="C623" s="137"/>
      <c r="D623" s="136" t="s">
        <v>261</v>
      </c>
      <c r="E623" s="136">
        <v>270</v>
      </c>
      <c r="F623" s="136"/>
      <c r="G623" s="137"/>
      <c r="H623" s="138"/>
      <c r="I623" s="139" t="s">
        <v>1094</v>
      </c>
    </row>
    <row r="624" spans="1:9" ht="17.25" x14ac:dyDescent="0.35">
      <c r="A624" s="140"/>
      <c r="B624" s="136"/>
      <c r="C624" s="137"/>
      <c r="D624" s="136" t="s">
        <v>261</v>
      </c>
      <c r="E624" s="136">
        <v>270</v>
      </c>
      <c r="F624" s="136"/>
      <c r="G624" s="137"/>
      <c r="H624" s="138"/>
      <c r="I624" s="139" t="s">
        <v>1095</v>
      </c>
    </row>
    <row r="625" spans="1:9" ht="17.25" x14ac:dyDescent="0.35">
      <c r="A625" s="140"/>
      <c r="B625" s="136"/>
      <c r="C625" s="137"/>
      <c r="D625" s="136" t="s">
        <v>261</v>
      </c>
      <c r="E625" s="136">
        <v>270</v>
      </c>
      <c r="F625" s="136"/>
      <c r="G625" s="137"/>
      <c r="H625" s="138"/>
      <c r="I625" s="139" t="s">
        <v>1096</v>
      </c>
    </row>
    <row r="626" spans="1:9" ht="17.25" x14ac:dyDescent="0.35">
      <c r="A626" s="140"/>
      <c r="B626" s="136"/>
      <c r="C626" s="137"/>
      <c r="D626" s="136" t="s">
        <v>261</v>
      </c>
      <c r="E626" s="136">
        <v>13</v>
      </c>
      <c r="F626" s="136"/>
      <c r="G626" s="137"/>
      <c r="H626" s="138"/>
      <c r="I626" s="139" t="s">
        <v>1097</v>
      </c>
    </row>
    <row r="627" spans="1:9" ht="17.25" x14ac:dyDescent="0.35">
      <c r="A627" s="129" t="s">
        <v>1098</v>
      </c>
      <c r="B627" s="136" t="s">
        <v>1099</v>
      </c>
      <c r="C627" s="137" t="s">
        <v>292</v>
      </c>
      <c r="D627" s="136"/>
      <c r="E627" s="136"/>
      <c r="F627" s="136"/>
      <c r="G627" s="138" t="s">
        <v>432</v>
      </c>
      <c r="H627" s="138"/>
      <c r="I627" s="139">
        <v>71527</v>
      </c>
    </row>
    <row r="628" spans="1:9" ht="17.25" x14ac:dyDescent="0.35">
      <c r="A628" s="140"/>
      <c r="B628" s="136"/>
      <c r="C628" s="137"/>
      <c r="D628" s="136" t="s">
        <v>261</v>
      </c>
      <c r="E628" s="136">
        <v>1</v>
      </c>
      <c r="F628" s="136">
        <v>0</v>
      </c>
      <c r="G628" s="137"/>
      <c r="H628" s="138"/>
      <c r="I628" s="139" t="s">
        <v>898</v>
      </c>
    </row>
    <row r="629" spans="1:9" ht="17.25" x14ac:dyDescent="0.35">
      <c r="A629" s="140"/>
      <c r="B629" s="136"/>
      <c r="C629" s="137"/>
      <c r="D629" s="136" t="s">
        <v>261</v>
      </c>
      <c r="E629" s="136">
        <v>2</v>
      </c>
      <c r="F629" s="136">
        <v>256</v>
      </c>
      <c r="G629" s="137"/>
      <c r="H629" s="138"/>
      <c r="I629" s="139" t="s">
        <v>1100</v>
      </c>
    </row>
    <row r="630" spans="1:9" ht="17.25" x14ac:dyDescent="0.35">
      <c r="A630" s="140"/>
      <c r="B630" s="136"/>
      <c r="C630" s="137"/>
      <c r="D630" s="136" t="s">
        <v>261</v>
      </c>
      <c r="E630" s="136">
        <v>1</v>
      </c>
      <c r="F630" s="136">
        <v>17</v>
      </c>
      <c r="G630" s="137"/>
      <c r="H630" s="138"/>
      <c r="I630" s="139" t="s">
        <v>1101</v>
      </c>
    </row>
    <row r="631" spans="1:9" ht="17.25" x14ac:dyDescent="0.35">
      <c r="A631" s="140"/>
      <c r="B631" s="136"/>
      <c r="C631" s="137"/>
      <c r="D631" s="136" t="s">
        <v>261</v>
      </c>
      <c r="E631" s="136">
        <v>2</v>
      </c>
      <c r="F631" s="136">
        <v>1</v>
      </c>
      <c r="G631" s="137"/>
      <c r="H631" s="138"/>
      <c r="I631" s="139" t="s">
        <v>1102</v>
      </c>
    </row>
    <row r="632" spans="1:9" ht="17.25" x14ac:dyDescent="0.35">
      <c r="A632" s="140"/>
      <c r="B632" s="136"/>
      <c r="C632" s="137"/>
      <c r="D632" s="136" t="s">
        <v>261</v>
      </c>
      <c r="E632" s="136">
        <v>1</v>
      </c>
      <c r="F632" s="136">
        <v>136</v>
      </c>
      <c r="G632" s="137"/>
      <c r="H632" s="138"/>
      <c r="I632" s="139" t="s">
        <v>1103</v>
      </c>
    </row>
    <row r="633" spans="1:9" ht="17.25" x14ac:dyDescent="0.35">
      <c r="A633" s="140"/>
      <c r="B633" s="136"/>
      <c r="C633" s="137"/>
      <c r="D633" s="136" t="s">
        <v>261</v>
      </c>
      <c r="E633" s="136">
        <v>1</v>
      </c>
      <c r="F633" s="136">
        <v>32</v>
      </c>
      <c r="G633" s="137"/>
      <c r="H633" s="138"/>
      <c r="I633" s="139" t="s">
        <v>1104</v>
      </c>
    </row>
    <row r="634" spans="1:9" ht="17.25" x14ac:dyDescent="0.35">
      <c r="A634" s="140"/>
      <c r="B634" s="136"/>
      <c r="C634" s="137"/>
      <c r="D634" s="136" t="s">
        <v>261</v>
      </c>
      <c r="E634" s="136">
        <v>2</v>
      </c>
      <c r="F634" s="136">
        <v>0</v>
      </c>
      <c r="G634" s="137"/>
      <c r="H634" s="138"/>
      <c r="I634" s="139" t="s">
        <v>1105</v>
      </c>
    </row>
    <row r="635" spans="1:9" ht="17.25" x14ac:dyDescent="0.35">
      <c r="A635" s="140"/>
      <c r="B635" s="136"/>
      <c r="C635" s="137"/>
      <c r="D635" s="136" t="s">
        <v>261</v>
      </c>
      <c r="E635" s="136">
        <v>1</v>
      </c>
      <c r="F635" s="136">
        <v>0</v>
      </c>
      <c r="G635" s="137"/>
      <c r="H635" s="138"/>
      <c r="I635" s="139" t="s">
        <v>1106</v>
      </c>
    </row>
    <row r="636" spans="1:9" ht="17.25" x14ac:dyDescent="0.35">
      <c r="A636" s="140"/>
      <c r="B636" s="136"/>
      <c r="C636" s="137"/>
      <c r="D636" s="136" t="s">
        <v>261</v>
      </c>
      <c r="E636" s="136">
        <v>2</v>
      </c>
      <c r="F636" s="136">
        <v>0</v>
      </c>
      <c r="G636" s="137"/>
      <c r="H636" s="138"/>
      <c r="I636" s="139" t="s">
        <v>1107</v>
      </c>
    </row>
    <row r="637" spans="1:9" ht="17.25" x14ac:dyDescent="0.35">
      <c r="A637" s="140"/>
      <c r="B637" s="136"/>
      <c r="C637" s="137"/>
      <c r="D637" s="136" t="s">
        <v>261</v>
      </c>
      <c r="E637" s="136">
        <v>1</v>
      </c>
      <c r="F637" s="136">
        <v>0</v>
      </c>
      <c r="G637" s="137"/>
      <c r="H637" s="138"/>
      <c r="I637" s="139" t="s">
        <v>1108</v>
      </c>
    </row>
    <row r="638" spans="1:9" ht="17.25" x14ac:dyDescent="0.35">
      <c r="A638" s="140"/>
      <c r="B638" s="136"/>
      <c r="C638" s="137"/>
      <c r="D638" s="136" t="s">
        <v>261</v>
      </c>
      <c r="E638" s="136">
        <v>1</v>
      </c>
      <c r="F638" s="136">
        <v>0</v>
      </c>
      <c r="G638" s="137"/>
      <c r="H638" s="138"/>
      <c r="I638" s="139" t="s">
        <v>1109</v>
      </c>
    </row>
    <row r="639" spans="1:9" ht="17.25" x14ac:dyDescent="0.35">
      <c r="A639" s="140"/>
      <c r="B639" s="136"/>
      <c r="C639" s="137"/>
      <c r="D639" s="136" t="s">
        <v>261</v>
      </c>
      <c r="E639" s="136">
        <v>2</v>
      </c>
      <c r="F639" s="136">
        <v>0</v>
      </c>
      <c r="G639" s="137"/>
      <c r="H639" s="138"/>
      <c r="I639" s="139" t="s">
        <v>1110</v>
      </c>
    </row>
    <row r="640" spans="1:9" ht="17.25" x14ac:dyDescent="0.35">
      <c r="A640" s="140"/>
      <c r="B640" s="136"/>
      <c r="C640" s="137"/>
      <c r="D640" s="136" t="s">
        <v>261</v>
      </c>
      <c r="E640" s="136">
        <v>1</v>
      </c>
      <c r="F640" s="136">
        <v>0</v>
      </c>
      <c r="G640" s="137"/>
      <c r="H640" s="138"/>
      <c r="I640" s="139" t="s">
        <v>1111</v>
      </c>
    </row>
    <row r="641" spans="1:9" ht="17.25" x14ac:dyDescent="0.35">
      <c r="A641" s="140"/>
      <c r="B641" s="136"/>
      <c r="C641" s="137"/>
      <c r="D641" s="136" t="s">
        <v>261</v>
      </c>
      <c r="E641" s="136">
        <v>2</v>
      </c>
      <c r="F641" s="136">
        <v>0</v>
      </c>
      <c r="G641" s="137"/>
      <c r="H641" s="138"/>
      <c r="I641" s="139" t="s">
        <v>1112</v>
      </c>
    </row>
    <row r="642" spans="1:9" ht="17.25" x14ac:dyDescent="0.35">
      <c r="A642" s="140"/>
      <c r="B642" s="136"/>
      <c r="C642" s="137"/>
      <c r="D642" s="136" t="s">
        <v>261</v>
      </c>
      <c r="E642" s="136">
        <v>1</v>
      </c>
      <c r="F642" s="136">
        <v>0</v>
      </c>
      <c r="G642" s="137"/>
      <c r="H642" s="138"/>
      <c r="I642" s="139" t="s">
        <v>1113</v>
      </c>
    </row>
    <row r="643" spans="1:9" ht="17.25" x14ac:dyDescent="0.35">
      <c r="A643" s="140"/>
      <c r="B643" s="136"/>
      <c r="C643" s="137"/>
      <c r="D643" s="136" t="s">
        <v>261</v>
      </c>
      <c r="E643" s="136">
        <v>1</v>
      </c>
      <c r="F643" s="136">
        <v>0</v>
      </c>
      <c r="G643" s="137"/>
      <c r="H643" s="138"/>
      <c r="I643" s="139" t="s">
        <v>1114</v>
      </c>
    </row>
    <row r="644" spans="1:9" ht="17.25" x14ac:dyDescent="0.35">
      <c r="A644" s="140"/>
      <c r="B644" s="136"/>
      <c r="C644" s="137"/>
      <c r="D644" s="136" t="s">
        <v>261</v>
      </c>
      <c r="E644" s="136">
        <v>2</v>
      </c>
      <c r="F644" s="136">
        <v>0</v>
      </c>
      <c r="G644" s="137"/>
      <c r="H644" s="138"/>
      <c r="I644" s="139" t="s">
        <v>1115</v>
      </c>
    </row>
    <row r="645" spans="1:9" ht="17.25" x14ac:dyDescent="0.35">
      <c r="A645" s="140"/>
      <c r="B645" s="136"/>
      <c r="C645" s="137"/>
      <c r="D645" s="136" t="s">
        <v>261</v>
      </c>
      <c r="E645" s="136">
        <v>1</v>
      </c>
      <c r="F645" s="136">
        <v>0</v>
      </c>
      <c r="G645" s="137"/>
      <c r="H645" s="138"/>
      <c r="I645" s="139" t="s">
        <v>1116</v>
      </c>
    </row>
    <row r="646" spans="1:9" ht="17.25" x14ac:dyDescent="0.35">
      <c r="A646" s="140"/>
      <c r="B646" s="136"/>
      <c r="C646" s="137"/>
      <c r="D646" s="136" t="s">
        <v>261</v>
      </c>
      <c r="E646" s="136">
        <v>2</v>
      </c>
      <c r="F646" s="136">
        <v>0</v>
      </c>
      <c r="G646" s="137"/>
      <c r="H646" s="138"/>
      <c r="I646" s="139" t="s">
        <v>1117</v>
      </c>
    </row>
    <row r="647" spans="1:9" ht="17.25" x14ac:dyDescent="0.35">
      <c r="A647" s="140"/>
      <c r="B647" s="136"/>
      <c r="C647" s="137"/>
      <c r="D647" s="136" t="s">
        <v>261</v>
      </c>
      <c r="E647" s="136">
        <v>1</v>
      </c>
      <c r="F647" s="136">
        <v>0</v>
      </c>
      <c r="G647" s="137"/>
      <c r="H647" s="138"/>
      <c r="I647" s="139" t="s">
        <v>1118</v>
      </c>
    </row>
    <row r="648" spans="1:9" ht="17.25" x14ac:dyDescent="0.35">
      <c r="A648" s="140"/>
      <c r="B648" s="136"/>
      <c r="C648" s="137"/>
      <c r="D648" s="136" t="s">
        <v>261</v>
      </c>
      <c r="E648" s="136">
        <v>1</v>
      </c>
      <c r="F648" s="136">
        <v>0</v>
      </c>
      <c r="G648" s="137"/>
      <c r="H648" s="138"/>
      <c r="I648" s="139" t="s">
        <v>1119</v>
      </c>
    </row>
    <row r="649" spans="1:9" ht="17.25" x14ac:dyDescent="0.35">
      <c r="A649" s="140"/>
      <c r="B649" s="136"/>
      <c r="C649" s="137"/>
      <c r="D649" s="136" t="s">
        <v>261</v>
      </c>
      <c r="E649" s="136">
        <v>2</v>
      </c>
      <c r="F649" s="136">
        <v>0</v>
      </c>
      <c r="G649" s="137"/>
      <c r="H649" s="138"/>
      <c r="I649" s="139" t="s">
        <v>1120</v>
      </c>
    </row>
    <row r="650" spans="1:9" ht="17.25" x14ac:dyDescent="0.35">
      <c r="A650" s="140"/>
      <c r="B650" s="136"/>
      <c r="C650" s="137"/>
      <c r="D650" s="136" t="s">
        <v>261</v>
      </c>
      <c r="E650" s="136">
        <v>1</v>
      </c>
      <c r="F650" s="136">
        <v>0</v>
      </c>
      <c r="G650" s="137"/>
      <c r="H650" s="138"/>
      <c r="I650" s="139" t="s">
        <v>1121</v>
      </c>
    </row>
    <row r="651" spans="1:9" ht="17.25" x14ac:dyDescent="0.35">
      <c r="A651" s="140"/>
      <c r="B651" s="136"/>
      <c r="C651" s="137"/>
      <c r="D651" s="136" t="s">
        <v>261</v>
      </c>
      <c r="E651" s="136">
        <v>2</v>
      </c>
      <c r="F651" s="136">
        <v>0</v>
      </c>
      <c r="G651" s="137"/>
      <c r="H651" s="138"/>
      <c r="I651" s="139" t="s">
        <v>1122</v>
      </c>
    </row>
    <row r="652" spans="1:9" ht="17.25" x14ac:dyDescent="0.35">
      <c r="A652" s="140"/>
      <c r="B652" s="136"/>
      <c r="C652" s="137"/>
      <c r="D652" s="136" t="s">
        <v>261</v>
      </c>
      <c r="E652" s="136">
        <v>1</v>
      </c>
      <c r="F652" s="136">
        <v>0</v>
      </c>
      <c r="G652" s="137"/>
      <c r="H652" s="138"/>
      <c r="I652" s="139" t="s">
        <v>1123</v>
      </c>
    </row>
    <row r="653" spans="1:9" ht="17.25" x14ac:dyDescent="0.35">
      <c r="A653" s="140"/>
      <c r="B653" s="136"/>
      <c r="C653" s="137"/>
      <c r="D653" s="136" t="s">
        <v>261</v>
      </c>
      <c r="E653" s="136">
        <v>1</v>
      </c>
      <c r="F653" s="136">
        <v>0</v>
      </c>
      <c r="G653" s="137"/>
      <c r="H653" s="138"/>
      <c r="I653" s="139" t="s">
        <v>1124</v>
      </c>
    </row>
    <row r="654" spans="1:9" ht="17.25" x14ac:dyDescent="0.35">
      <c r="A654" s="140"/>
      <c r="B654" s="136"/>
      <c r="C654" s="137"/>
      <c r="D654" s="136" t="s">
        <v>261</v>
      </c>
      <c r="E654" s="136">
        <v>2</v>
      </c>
      <c r="F654" s="136">
        <v>0</v>
      </c>
      <c r="G654" s="137"/>
      <c r="H654" s="138"/>
      <c r="I654" s="139" t="s">
        <v>1125</v>
      </c>
    </row>
    <row r="655" spans="1:9" ht="17.25" x14ac:dyDescent="0.35">
      <c r="A655" s="140"/>
      <c r="B655" s="136"/>
      <c r="C655" s="137"/>
      <c r="D655" s="136" t="s">
        <v>261</v>
      </c>
      <c r="E655" s="136">
        <v>1</v>
      </c>
      <c r="F655" s="136">
        <v>0</v>
      </c>
      <c r="G655" s="137"/>
      <c r="H655" s="138"/>
      <c r="I655" s="139" t="s">
        <v>1126</v>
      </c>
    </row>
    <row r="656" spans="1:9" ht="17.25" x14ac:dyDescent="0.35">
      <c r="A656" s="140"/>
      <c r="B656" s="136"/>
      <c r="C656" s="137"/>
      <c r="D656" s="136" t="s">
        <v>261</v>
      </c>
      <c r="E656" s="136">
        <v>2</v>
      </c>
      <c r="F656" s="136">
        <v>0</v>
      </c>
      <c r="G656" s="137"/>
      <c r="H656" s="138"/>
      <c r="I656" s="139" t="s">
        <v>1127</v>
      </c>
    </row>
    <row r="657" spans="1:9" ht="17.25" x14ac:dyDescent="0.35">
      <c r="A657" s="140"/>
      <c r="B657" s="136"/>
      <c r="C657" s="137"/>
      <c r="D657" s="136" t="s">
        <v>261</v>
      </c>
      <c r="E657" s="136">
        <v>1</v>
      </c>
      <c r="F657" s="136">
        <v>0</v>
      </c>
      <c r="G657" s="137"/>
      <c r="H657" s="138"/>
      <c r="I657" s="139" t="s">
        <v>1128</v>
      </c>
    </row>
    <row r="658" spans="1:9" ht="17.25" x14ac:dyDescent="0.35">
      <c r="A658" s="140"/>
      <c r="B658" s="136"/>
      <c r="C658" s="137"/>
      <c r="D658" s="136" t="s">
        <v>261</v>
      </c>
      <c r="E658" s="136">
        <v>1</v>
      </c>
      <c r="F658" s="136">
        <v>0</v>
      </c>
      <c r="G658" s="137"/>
      <c r="H658" s="138"/>
      <c r="I658" s="139" t="s">
        <v>1129</v>
      </c>
    </row>
    <row r="659" spans="1:9" ht="17.25" x14ac:dyDescent="0.35">
      <c r="A659" s="140"/>
      <c r="B659" s="136"/>
      <c r="C659" s="137"/>
      <c r="D659" s="136" t="s">
        <v>261</v>
      </c>
      <c r="E659" s="136">
        <v>2</v>
      </c>
      <c r="F659" s="136">
        <v>0</v>
      </c>
      <c r="G659" s="137"/>
      <c r="H659" s="138"/>
      <c r="I659" s="139" t="s">
        <v>1130</v>
      </c>
    </row>
    <row r="660" spans="1:9" ht="17.25" x14ac:dyDescent="0.35">
      <c r="A660" s="140"/>
      <c r="B660" s="136"/>
      <c r="C660" s="137"/>
      <c r="D660" s="136" t="s">
        <v>261</v>
      </c>
      <c r="E660" s="136">
        <v>1</v>
      </c>
      <c r="F660" s="136">
        <v>0</v>
      </c>
      <c r="G660" s="137"/>
      <c r="H660" s="138"/>
      <c r="I660" s="139" t="s">
        <v>1131</v>
      </c>
    </row>
    <row r="661" spans="1:9" ht="17.25" x14ac:dyDescent="0.35">
      <c r="A661" s="140"/>
      <c r="B661" s="136"/>
      <c r="C661" s="137"/>
      <c r="D661" s="136" t="s">
        <v>261</v>
      </c>
      <c r="E661" s="136">
        <v>2</v>
      </c>
      <c r="F661" s="136">
        <v>0</v>
      </c>
      <c r="G661" s="137"/>
      <c r="H661" s="138"/>
      <c r="I661" s="139" t="s">
        <v>1132</v>
      </c>
    </row>
    <row r="662" spans="1:9" ht="17.25" x14ac:dyDescent="0.35">
      <c r="A662" s="140"/>
      <c r="B662" s="136"/>
      <c r="C662" s="137"/>
      <c r="D662" s="136" t="s">
        <v>261</v>
      </c>
      <c r="E662" s="136">
        <v>1</v>
      </c>
      <c r="F662" s="136">
        <v>0</v>
      </c>
      <c r="G662" s="137"/>
      <c r="H662" s="138"/>
      <c r="I662" s="139" t="s">
        <v>1133</v>
      </c>
    </row>
    <row r="663" spans="1:9" ht="17.25" x14ac:dyDescent="0.35">
      <c r="A663" s="140"/>
      <c r="B663" s="136"/>
      <c r="C663" s="137"/>
      <c r="D663" s="136" t="s">
        <v>261</v>
      </c>
      <c r="E663" s="136">
        <v>1</v>
      </c>
      <c r="F663" s="136">
        <v>0</v>
      </c>
      <c r="G663" s="137"/>
      <c r="H663" s="138"/>
      <c r="I663" s="139" t="s">
        <v>1134</v>
      </c>
    </row>
    <row r="664" spans="1:9" ht="17.25" x14ac:dyDescent="0.35">
      <c r="A664" s="140"/>
      <c r="B664" s="136"/>
      <c r="C664" s="137"/>
      <c r="D664" s="136" t="s">
        <v>261</v>
      </c>
      <c r="E664" s="136">
        <v>2</v>
      </c>
      <c r="F664" s="136">
        <v>0</v>
      </c>
      <c r="G664" s="137"/>
      <c r="H664" s="138"/>
      <c r="I664" s="139" t="s">
        <v>1135</v>
      </c>
    </row>
    <row r="665" spans="1:9" ht="17.25" x14ac:dyDescent="0.35">
      <c r="A665" s="140"/>
      <c r="B665" s="136"/>
      <c r="C665" s="137"/>
      <c r="D665" s="136" t="s">
        <v>261</v>
      </c>
      <c r="E665" s="136">
        <v>1</v>
      </c>
      <c r="F665" s="136">
        <v>0</v>
      </c>
      <c r="G665" s="137"/>
      <c r="H665" s="138"/>
      <c r="I665" s="139" t="s">
        <v>1136</v>
      </c>
    </row>
    <row r="666" spans="1:9" ht="17.25" x14ac:dyDescent="0.35">
      <c r="A666" s="140"/>
      <c r="B666" s="136"/>
      <c r="C666" s="137"/>
      <c r="D666" s="136" t="s">
        <v>261</v>
      </c>
      <c r="E666" s="136">
        <v>2</v>
      </c>
      <c r="F666" s="136">
        <v>0</v>
      </c>
      <c r="G666" s="137"/>
      <c r="H666" s="138"/>
      <c r="I666" s="139" t="s">
        <v>1137</v>
      </c>
    </row>
    <row r="667" spans="1:9" ht="17.25" x14ac:dyDescent="0.35">
      <c r="A667" s="140"/>
      <c r="B667" s="136"/>
      <c r="C667" s="137"/>
      <c r="D667" s="136" t="s">
        <v>261</v>
      </c>
      <c r="E667" s="136">
        <v>1</v>
      </c>
      <c r="F667" s="136">
        <v>0</v>
      </c>
      <c r="G667" s="137"/>
      <c r="H667" s="138"/>
      <c r="I667" s="139" t="s">
        <v>1138</v>
      </c>
    </row>
    <row r="668" spans="1:9" ht="17.25" x14ac:dyDescent="0.35">
      <c r="A668" s="140"/>
      <c r="B668" s="136"/>
      <c r="C668" s="137"/>
      <c r="D668" s="136" t="s">
        <v>261</v>
      </c>
      <c r="E668" s="136">
        <v>1</v>
      </c>
      <c r="F668" s="136">
        <v>0</v>
      </c>
      <c r="G668" s="137"/>
      <c r="H668" s="138"/>
      <c r="I668" s="139" t="s">
        <v>1139</v>
      </c>
    </row>
    <row r="669" spans="1:9" ht="17.25" x14ac:dyDescent="0.35">
      <c r="A669" s="140"/>
      <c r="B669" s="136"/>
      <c r="C669" s="137"/>
      <c r="D669" s="136" t="s">
        <v>261</v>
      </c>
      <c r="E669" s="136">
        <v>2</v>
      </c>
      <c r="F669" s="136">
        <v>0</v>
      </c>
      <c r="G669" s="137"/>
      <c r="H669" s="138"/>
      <c r="I669" s="139" t="s">
        <v>1140</v>
      </c>
    </row>
    <row r="670" spans="1:9" ht="17.25" x14ac:dyDescent="0.35">
      <c r="A670" s="140"/>
      <c r="B670" s="136"/>
      <c r="C670" s="137"/>
      <c r="D670" s="136" t="s">
        <v>261</v>
      </c>
      <c r="E670" s="136">
        <v>1</v>
      </c>
      <c r="F670" s="136">
        <v>0</v>
      </c>
      <c r="G670" s="137"/>
      <c r="H670" s="138"/>
      <c r="I670" s="139" t="s">
        <v>1141</v>
      </c>
    </row>
    <row r="671" spans="1:9" ht="17.25" x14ac:dyDescent="0.35">
      <c r="A671" s="140"/>
      <c r="B671" s="136"/>
      <c r="C671" s="137"/>
      <c r="D671" s="136" t="s">
        <v>261</v>
      </c>
      <c r="E671" s="136">
        <v>2</v>
      </c>
      <c r="F671" s="136">
        <v>0</v>
      </c>
      <c r="G671" s="137"/>
      <c r="H671" s="138"/>
      <c r="I671" s="139" t="s">
        <v>1142</v>
      </c>
    </row>
    <row r="672" spans="1:9" ht="17.25" x14ac:dyDescent="0.35">
      <c r="A672" s="140"/>
      <c r="B672" s="136"/>
      <c r="C672" s="137"/>
      <c r="D672" s="136" t="s">
        <v>261</v>
      </c>
      <c r="E672" s="136">
        <v>1</v>
      </c>
      <c r="F672" s="136">
        <v>0</v>
      </c>
      <c r="G672" s="137"/>
      <c r="H672" s="138"/>
      <c r="I672" s="139" t="s">
        <v>1143</v>
      </c>
    </row>
    <row r="673" spans="1:9" ht="17.25" x14ac:dyDescent="0.35">
      <c r="A673" s="140"/>
      <c r="B673" s="136"/>
      <c r="C673" s="137"/>
      <c r="D673" s="136" t="s">
        <v>261</v>
      </c>
      <c r="E673" s="136">
        <v>1</v>
      </c>
      <c r="F673" s="136">
        <v>0</v>
      </c>
      <c r="G673" s="137"/>
      <c r="H673" s="138"/>
      <c r="I673" s="139" t="s">
        <v>1144</v>
      </c>
    </row>
    <row r="674" spans="1:9" ht="17.25" x14ac:dyDescent="0.35">
      <c r="A674" s="140"/>
      <c r="B674" s="136"/>
      <c r="C674" s="137"/>
      <c r="D674" s="136" t="s">
        <v>261</v>
      </c>
      <c r="E674" s="136">
        <v>2</v>
      </c>
      <c r="F674" s="136">
        <v>0</v>
      </c>
      <c r="G674" s="137"/>
      <c r="H674" s="138"/>
      <c r="I674" s="139" t="s">
        <v>1145</v>
      </c>
    </row>
    <row r="675" spans="1:9" ht="17.25" x14ac:dyDescent="0.35">
      <c r="A675" s="140"/>
      <c r="B675" s="136"/>
      <c r="C675" s="137"/>
      <c r="D675" s="136" t="s">
        <v>261</v>
      </c>
      <c r="E675" s="136">
        <v>1</v>
      </c>
      <c r="F675" s="136">
        <v>0</v>
      </c>
      <c r="G675" s="137"/>
      <c r="H675" s="138"/>
      <c r="I675" s="139" t="s">
        <v>1146</v>
      </c>
    </row>
    <row r="676" spans="1:9" ht="17.25" x14ac:dyDescent="0.35">
      <c r="A676" s="140"/>
      <c r="B676" s="136"/>
      <c r="C676" s="137"/>
      <c r="D676" s="136" t="s">
        <v>261</v>
      </c>
      <c r="E676" s="136">
        <v>2</v>
      </c>
      <c r="F676" s="136">
        <v>0</v>
      </c>
      <c r="G676" s="137"/>
      <c r="H676" s="138"/>
      <c r="I676" s="139" t="s">
        <v>1147</v>
      </c>
    </row>
    <row r="677" spans="1:9" ht="17.25" x14ac:dyDescent="0.35">
      <c r="A677" s="140"/>
      <c r="B677" s="136"/>
      <c r="C677" s="137"/>
      <c r="D677" s="136" t="s">
        <v>261</v>
      </c>
      <c r="E677" s="136">
        <v>1</v>
      </c>
      <c r="F677" s="136">
        <v>0</v>
      </c>
      <c r="G677" s="137"/>
      <c r="H677" s="138"/>
      <c r="I677" s="139" t="s">
        <v>1148</v>
      </c>
    </row>
    <row r="678" spans="1:9" ht="17.25" x14ac:dyDescent="0.35">
      <c r="A678" s="140"/>
      <c r="B678" s="136"/>
      <c r="C678" s="137"/>
      <c r="D678" s="136" t="s">
        <v>261</v>
      </c>
      <c r="E678" s="136">
        <v>1</v>
      </c>
      <c r="F678" s="136">
        <v>0</v>
      </c>
      <c r="G678" s="137"/>
      <c r="H678" s="138"/>
      <c r="I678" s="139" t="s">
        <v>1149</v>
      </c>
    </row>
    <row r="679" spans="1:9" ht="17.25" x14ac:dyDescent="0.35">
      <c r="A679" s="140"/>
      <c r="B679" s="136"/>
      <c r="C679" s="137"/>
      <c r="D679" s="136" t="s">
        <v>261</v>
      </c>
      <c r="E679" s="136">
        <v>2</v>
      </c>
      <c r="F679" s="136">
        <v>37376</v>
      </c>
      <c r="G679" s="137"/>
      <c r="H679" s="138"/>
      <c r="I679" s="139" t="s">
        <v>1150</v>
      </c>
    </row>
    <row r="680" spans="1:9" ht="17.25" x14ac:dyDescent="0.35">
      <c r="A680" s="140"/>
      <c r="B680" s="136"/>
      <c r="C680" s="137"/>
      <c r="D680" s="136" t="s">
        <v>261</v>
      </c>
      <c r="E680" s="136">
        <v>2</v>
      </c>
      <c r="F680" s="136">
        <v>0</v>
      </c>
      <c r="G680" s="137"/>
      <c r="H680" s="138"/>
      <c r="I680" s="139" t="s">
        <v>1151</v>
      </c>
    </row>
    <row r="681" spans="1:9" ht="17.25" x14ac:dyDescent="0.35">
      <c r="A681" s="140"/>
      <c r="B681" s="136"/>
      <c r="C681" s="137"/>
      <c r="D681" s="136" t="s">
        <v>261</v>
      </c>
      <c r="E681" s="136">
        <v>2</v>
      </c>
      <c r="F681" s="136">
        <v>0</v>
      </c>
      <c r="G681" s="137"/>
      <c r="H681" s="138"/>
      <c r="I681" s="139" t="s">
        <v>1152</v>
      </c>
    </row>
    <row r="682" spans="1:9" ht="17.25" x14ac:dyDescent="0.35">
      <c r="A682" s="140"/>
      <c r="B682" s="136"/>
      <c r="C682" s="137"/>
      <c r="D682" s="136" t="s">
        <v>261</v>
      </c>
      <c r="E682" s="136">
        <v>2</v>
      </c>
      <c r="F682" s="136">
        <v>0</v>
      </c>
      <c r="G682" s="137"/>
      <c r="H682" s="138"/>
      <c r="I682" s="139" t="s">
        <v>1153</v>
      </c>
    </row>
    <row r="683" spans="1:9" ht="17.25" x14ac:dyDescent="0.35">
      <c r="A683" s="140"/>
      <c r="B683" s="136"/>
      <c r="C683" s="137"/>
      <c r="D683" s="136" t="s">
        <v>261</v>
      </c>
      <c r="E683" s="136">
        <v>2</v>
      </c>
      <c r="F683" s="136">
        <v>0</v>
      </c>
      <c r="G683" s="137"/>
      <c r="H683" s="138"/>
      <c r="I683" s="139" t="s">
        <v>1154</v>
      </c>
    </row>
    <row r="684" spans="1:9" ht="17.25" x14ac:dyDescent="0.35">
      <c r="A684" s="140"/>
      <c r="B684" s="136"/>
      <c r="C684" s="137"/>
      <c r="D684" s="136" t="s">
        <v>261</v>
      </c>
      <c r="E684" s="136">
        <v>2</v>
      </c>
      <c r="F684" s="136">
        <v>0</v>
      </c>
      <c r="G684" s="137"/>
      <c r="H684" s="138"/>
      <c r="I684" s="139" t="s">
        <v>1155</v>
      </c>
    </row>
    <row r="685" spans="1:9" ht="17.25" x14ac:dyDescent="0.35">
      <c r="A685" s="140"/>
      <c r="B685" s="136"/>
      <c r="C685" s="137"/>
      <c r="D685" s="136" t="s">
        <v>261</v>
      </c>
      <c r="E685" s="136">
        <v>2</v>
      </c>
      <c r="F685" s="136">
        <v>0</v>
      </c>
      <c r="G685" s="137"/>
      <c r="H685" s="138"/>
      <c r="I685" s="139" t="s">
        <v>1156</v>
      </c>
    </row>
    <row r="686" spans="1:9" ht="17.25" x14ac:dyDescent="0.35">
      <c r="A686" s="140"/>
      <c r="B686" s="136"/>
      <c r="C686" s="137"/>
      <c r="D686" s="136" t="s">
        <v>261</v>
      </c>
      <c r="E686" s="136">
        <v>2</v>
      </c>
      <c r="F686" s="136">
        <v>0</v>
      </c>
      <c r="G686" s="137"/>
      <c r="H686" s="138"/>
      <c r="I686" s="139" t="s">
        <v>1157</v>
      </c>
    </row>
    <row r="687" spans="1:9" ht="17.25" x14ac:dyDescent="0.35">
      <c r="A687" s="140"/>
      <c r="B687" s="136"/>
      <c r="C687" s="137"/>
      <c r="D687" s="136" t="s">
        <v>261</v>
      </c>
      <c r="E687" s="136">
        <v>2</v>
      </c>
      <c r="F687" s="136">
        <v>0</v>
      </c>
      <c r="G687" s="137"/>
      <c r="H687" s="138"/>
      <c r="I687" s="139" t="s">
        <v>1158</v>
      </c>
    </row>
    <row r="688" spans="1:9" ht="17.25" x14ac:dyDescent="0.35">
      <c r="A688" s="140"/>
      <c r="B688" s="136"/>
      <c r="C688" s="137"/>
      <c r="D688" s="136" t="s">
        <v>261</v>
      </c>
      <c r="E688" s="136">
        <v>2</v>
      </c>
      <c r="F688" s="136">
        <v>0</v>
      </c>
      <c r="G688" s="137"/>
      <c r="H688" s="138"/>
      <c r="I688" s="139" t="s">
        <v>1159</v>
      </c>
    </row>
    <row r="689" spans="1:9" ht="17.25" x14ac:dyDescent="0.35">
      <c r="A689" s="140"/>
      <c r="B689" s="136"/>
      <c r="C689" s="137"/>
      <c r="D689" s="136" t="s">
        <v>261</v>
      </c>
      <c r="E689" s="136">
        <v>2</v>
      </c>
      <c r="F689" s="136">
        <v>0</v>
      </c>
      <c r="G689" s="137"/>
      <c r="H689" s="138"/>
      <c r="I689" s="139" t="s">
        <v>1160</v>
      </c>
    </row>
    <row r="690" spans="1:9" ht="17.25" x14ac:dyDescent="0.35">
      <c r="A690" s="140"/>
      <c r="B690" s="136"/>
      <c r="C690" s="137"/>
      <c r="D690" s="136" t="s">
        <v>261</v>
      </c>
      <c r="E690" s="136">
        <v>2</v>
      </c>
      <c r="F690" s="136">
        <v>0</v>
      </c>
      <c r="G690" s="137"/>
      <c r="H690" s="138"/>
      <c r="I690" s="139" t="s">
        <v>1161</v>
      </c>
    </row>
    <row r="691" spans="1:9" ht="17.25" x14ac:dyDescent="0.35">
      <c r="A691" s="140"/>
      <c r="B691" s="136"/>
      <c r="C691" s="137"/>
      <c r="D691" s="136" t="s">
        <v>261</v>
      </c>
      <c r="E691" s="136">
        <v>2</v>
      </c>
      <c r="F691" s="136">
        <v>0</v>
      </c>
      <c r="G691" s="137"/>
      <c r="H691" s="138"/>
      <c r="I691" s="139" t="s">
        <v>1162</v>
      </c>
    </row>
    <row r="692" spans="1:9" ht="17.25" x14ac:dyDescent="0.35">
      <c r="A692" s="140"/>
      <c r="B692" s="136"/>
      <c r="C692" s="137"/>
      <c r="D692" s="136" t="s">
        <v>261</v>
      </c>
      <c r="E692" s="136">
        <v>2</v>
      </c>
      <c r="F692" s="136">
        <v>0</v>
      </c>
      <c r="G692" s="137"/>
      <c r="H692" s="138"/>
      <c r="I692" s="139" t="s">
        <v>1163</v>
      </c>
    </row>
    <row r="693" spans="1:9" ht="17.25" x14ac:dyDescent="0.35">
      <c r="A693" s="140"/>
      <c r="B693" s="136"/>
      <c r="C693" s="137"/>
      <c r="D693" s="136" t="s">
        <v>261</v>
      </c>
      <c r="E693" s="136">
        <v>2</v>
      </c>
      <c r="F693" s="136">
        <v>0</v>
      </c>
      <c r="G693" s="137"/>
      <c r="H693" s="138"/>
      <c r="I693" s="139" t="s">
        <v>1164</v>
      </c>
    </row>
    <row r="694" spans="1:9" ht="17.25" x14ac:dyDescent="0.35">
      <c r="A694" s="140"/>
      <c r="B694" s="136"/>
      <c r="C694" s="137"/>
      <c r="D694" s="136" t="s">
        <v>261</v>
      </c>
      <c r="E694" s="136">
        <v>2</v>
      </c>
      <c r="F694" s="136">
        <v>0</v>
      </c>
      <c r="G694" s="137"/>
      <c r="H694" s="138"/>
      <c r="I694" s="139" t="s">
        <v>1165</v>
      </c>
    </row>
    <row r="695" spans="1:9" ht="17.25" x14ac:dyDescent="0.35">
      <c r="A695" s="140"/>
      <c r="B695" s="136"/>
      <c r="C695" s="137"/>
      <c r="D695" s="136" t="s">
        <v>261</v>
      </c>
      <c r="E695" s="136">
        <v>2</v>
      </c>
      <c r="F695" s="136">
        <v>0</v>
      </c>
      <c r="G695" s="137"/>
      <c r="H695" s="138"/>
      <c r="I695" s="139" t="s">
        <v>1166</v>
      </c>
    </row>
    <row r="696" spans="1:9" ht="17.25" x14ac:dyDescent="0.35">
      <c r="A696" s="140"/>
      <c r="B696" s="136"/>
      <c r="C696" s="137"/>
      <c r="D696" s="136" t="s">
        <v>261</v>
      </c>
      <c r="E696" s="136">
        <v>2</v>
      </c>
      <c r="F696" s="136">
        <v>0</v>
      </c>
      <c r="G696" s="137"/>
      <c r="H696" s="138"/>
      <c r="I696" s="139" t="s">
        <v>1167</v>
      </c>
    </row>
    <row r="697" spans="1:9" ht="17.25" x14ac:dyDescent="0.35">
      <c r="A697" s="140"/>
      <c r="B697" s="136"/>
      <c r="C697" s="137"/>
      <c r="D697" s="136" t="s">
        <v>261</v>
      </c>
      <c r="E697" s="136">
        <v>2</v>
      </c>
      <c r="F697" s="136">
        <v>0</v>
      </c>
      <c r="G697" s="137"/>
      <c r="H697" s="138"/>
      <c r="I697" s="139" t="s">
        <v>1168</v>
      </c>
    </row>
    <row r="698" spans="1:9" ht="17.25" x14ac:dyDescent="0.35">
      <c r="A698" s="140"/>
      <c r="B698" s="136"/>
      <c r="C698" s="137"/>
      <c r="D698" s="136" t="s">
        <v>261</v>
      </c>
      <c r="E698" s="136">
        <v>2</v>
      </c>
      <c r="F698" s="136">
        <v>0</v>
      </c>
      <c r="G698" s="137"/>
      <c r="H698" s="138"/>
      <c r="I698" s="139" t="s">
        <v>1169</v>
      </c>
    </row>
    <row r="699" spans="1:9" ht="17.25" x14ac:dyDescent="0.35">
      <c r="A699" s="140"/>
      <c r="B699" s="136"/>
      <c r="C699" s="137"/>
      <c r="D699" s="136" t="s">
        <v>261</v>
      </c>
      <c r="E699" s="136">
        <v>2</v>
      </c>
      <c r="F699" s="136">
        <v>3</v>
      </c>
      <c r="G699" s="137"/>
      <c r="H699" s="138"/>
      <c r="I699" s="139" t="s">
        <v>1170</v>
      </c>
    </row>
    <row r="700" spans="1:9" ht="17.25" x14ac:dyDescent="0.35">
      <c r="A700" s="140"/>
      <c r="B700" s="136"/>
      <c r="C700" s="137"/>
      <c r="D700" s="136" t="s">
        <v>261</v>
      </c>
      <c r="E700" s="136">
        <v>1</v>
      </c>
      <c r="F700" s="136">
        <v>0</v>
      </c>
      <c r="G700" s="137"/>
      <c r="H700" s="138"/>
      <c r="I700" s="139" t="s">
        <v>1171</v>
      </c>
    </row>
    <row r="701" spans="1:9" ht="17.25" x14ac:dyDescent="0.35">
      <c r="A701" s="140"/>
      <c r="B701" s="136"/>
      <c r="C701" s="137"/>
      <c r="D701" s="136" t="s">
        <v>261</v>
      </c>
      <c r="E701" s="136">
        <v>1</v>
      </c>
      <c r="F701" s="136">
        <v>0</v>
      </c>
      <c r="G701" s="137"/>
      <c r="H701" s="138"/>
      <c r="I701" s="139" t="s">
        <v>1172</v>
      </c>
    </row>
    <row r="702" spans="1:9" ht="17.25" x14ac:dyDescent="0.35">
      <c r="A702" s="140"/>
      <c r="B702" s="136"/>
      <c r="C702" s="137"/>
      <c r="D702" s="136" t="s">
        <v>261</v>
      </c>
      <c r="E702" s="136">
        <v>1</v>
      </c>
      <c r="F702" s="136">
        <v>2</v>
      </c>
      <c r="G702" s="137"/>
      <c r="H702" s="138"/>
      <c r="I702" s="139" t="s">
        <v>1173</v>
      </c>
    </row>
    <row r="703" spans="1:9" ht="17.25" x14ac:dyDescent="0.35">
      <c r="A703" s="140"/>
      <c r="B703" s="136"/>
      <c r="C703" s="137"/>
      <c r="D703" s="136" t="s">
        <v>261</v>
      </c>
      <c r="E703" s="136">
        <v>1</v>
      </c>
      <c r="F703" s="136">
        <v>3</v>
      </c>
      <c r="G703" s="137"/>
      <c r="H703" s="138"/>
      <c r="I703" s="139" t="s">
        <v>1174</v>
      </c>
    </row>
    <row r="704" spans="1:9" ht="17.25" x14ac:dyDescent="0.35">
      <c r="A704" s="140"/>
      <c r="B704" s="136"/>
      <c r="C704" s="137"/>
      <c r="D704" s="136" t="s">
        <v>261</v>
      </c>
      <c r="E704" s="136">
        <v>1</v>
      </c>
      <c r="F704" s="136">
        <v>1</v>
      </c>
      <c r="G704" s="137"/>
      <c r="H704" s="138"/>
      <c r="I704" s="139" t="s">
        <v>1175</v>
      </c>
    </row>
    <row r="705" spans="1:9" ht="17.25" x14ac:dyDescent="0.35">
      <c r="A705" s="140"/>
      <c r="B705" s="136"/>
      <c r="C705" s="137"/>
      <c r="D705" s="136" t="s">
        <v>261</v>
      </c>
      <c r="E705" s="136">
        <v>2</v>
      </c>
      <c r="F705" s="136">
        <v>32775</v>
      </c>
      <c r="G705" s="137"/>
      <c r="H705" s="138"/>
      <c r="I705" s="139" t="s">
        <v>1176</v>
      </c>
    </row>
    <row r="706" spans="1:9" ht="17.25" x14ac:dyDescent="0.35">
      <c r="A706" s="140"/>
      <c r="B706" s="136"/>
      <c r="C706" s="137"/>
      <c r="D706" s="136" t="s">
        <v>262</v>
      </c>
      <c r="E706" s="136">
        <v>50</v>
      </c>
      <c r="F706" s="136" t="s">
        <v>1177</v>
      </c>
      <c r="G706" s="137"/>
      <c r="H706" s="138"/>
      <c r="I706" s="139" t="s">
        <v>1178</v>
      </c>
    </row>
    <row r="707" spans="1:9" ht="17.25" x14ac:dyDescent="0.35">
      <c r="A707" s="140"/>
      <c r="B707" s="136"/>
      <c r="C707" s="137"/>
      <c r="D707" s="136" t="s">
        <v>262</v>
      </c>
      <c r="E707" s="136">
        <v>50</v>
      </c>
      <c r="F707" s="136"/>
      <c r="G707" s="137"/>
      <c r="H707" s="138"/>
      <c r="I707" s="139" t="s">
        <v>1179</v>
      </c>
    </row>
    <row r="708" spans="1:9" ht="17.25" x14ac:dyDescent="0.35">
      <c r="A708" s="140"/>
      <c r="B708" s="136"/>
      <c r="C708" s="137"/>
      <c r="D708" s="136" t="s">
        <v>262</v>
      </c>
      <c r="E708" s="136">
        <v>50</v>
      </c>
      <c r="F708" s="136"/>
      <c r="G708" s="137"/>
      <c r="H708" s="138"/>
      <c r="I708" s="139" t="s">
        <v>1180</v>
      </c>
    </row>
    <row r="709" spans="1:9" ht="17.25" x14ac:dyDescent="0.35">
      <c r="A709" s="140"/>
      <c r="B709" s="136"/>
      <c r="C709" s="137"/>
      <c r="D709" s="136" t="s">
        <v>262</v>
      </c>
      <c r="E709" s="136">
        <v>754</v>
      </c>
      <c r="F709" s="136"/>
      <c r="G709" s="137"/>
      <c r="H709" s="138"/>
      <c r="I709" s="139" t="s">
        <v>926</v>
      </c>
    </row>
    <row r="710" spans="1:9" ht="17.25" x14ac:dyDescent="0.35">
      <c r="A710" s="129" t="s">
        <v>1181</v>
      </c>
      <c r="B710" s="192" t="s">
        <v>1182</v>
      </c>
      <c r="C710" s="193" t="s">
        <v>292</v>
      </c>
      <c r="D710" s="192"/>
      <c r="E710" s="192"/>
      <c r="F710" s="192"/>
      <c r="G710" s="138" t="s">
        <v>432</v>
      </c>
      <c r="H710" s="194"/>
      <c r="I710" s="195">
        <v>71572</v>
      </c>
    </row>
    <row r="711" spans="1:9" ht="17.25" x14ac:dyDescent="0.35">
      <c r="A711" s="196"/>
      <c r="B711" s="192"/>
      <c r="C711" s="193"/>
      <c r="D711" s="192" t="s">
        <v>261</v>
      </c>
      <c r="E711" s="192">
        <v>4</v>
      </c>
      <c r="F711" s="192">
        <v>8000</v>
      </c>
      <c r="G711" s="193"/>
      <c r="H711" s="194"/>
      <c r="I711" s="195"/>
    </row>
    <row r="712" spans="1:9" ht="17.25" x14ac:dyDescent="0.35">
      <c r="A712" s="129" t="s">
        <v>1183</v>
      </c>
      <c r="B712" s="192" t="s">
        <v>1184</v>
      </c>
      <c r="C712" s="193" t="s">
        <v>292</v>
      </c>
      <c r="D712" s="192"/>
      <c r="E712" s="192"/>
      <c r="F712" s="192"/>
      <c r="G712" s="138" t="s">
        <v>432</v>
      </c>
      <c r="H712" s="194"/>
      <c r="I712" s="195">
        <v>71540</v>
      </c>
    </row>
    <row r="713" spans="1:9" ht="17.25" x14ac:dyDescent="0.35">
      <c r="A713" s="196"/>
      <c r="B713" s="192"/>
      <c r="C713" s="193"/>
      <c r="D713" s="192" t="s">
        <v>261</v>
      </c>
      <c r="E713" s="192">
        <v>1</v>
      </c>
      <c r="F713" s="192">
        <v>0</v>
      </c>
      <c r="G713" s="193"/>
      <c r="H713" s="194"/>
      <c r="I713" s="195" t="s">
        <v>845</v>
      </c>
    </row>
    <row r="714" spans="1:9" ht="17.25" x14ac:dyDescent="0.35">
      <c r="A714" s="196"/>
      <c r="B714" s="192"/>
      <c r="C714" s="193"/>
      <c r="D714" s="192" t="s">
        <v>261</v>
      </c>
      <c r="E714" s="192">
        <v>1</v>
      </c>
      <c r="F714" s="192">
        <v>0</v>
      </c>
      <c r="G714" s="193"/>
      <c r="H714" s="194"/>
      <c r="I714" s="195" t="s">
        <v>1185</v>
      </c>
    </row>
    <row r="715" spans="1:9" ht="17.25" x14ac:dyDescent="0.35">
      <c r="A715" s="196"/>
      <c r="B715" s="192"/>
      <c r="C715" s="193"/>
      <c r="D715" s="192" t="s">
        <v>261</v>
      </c>
      <c r="E715" s="192">
        <v>509</v>
      </c>
      <c r="F715" s="192"/>
      <c r="G715" s="193"/>
      <c r="H715" s="194"/>
      <c r="I715" s="195" t="s">
        <v>926</v>
      </c>
    </row>
    <row r="716" spans="1:9" ht="17.25" x14ac:dyDescent="0.35">
      <c r="A716" s="197" t="s">
        <v>1186</v>
      </c>
      <c r="B716" s="192" t="s">
        <v>1187</v>
      </c>
      <c r="C716" s="193" t="s">
        <v>292</v>
      </c>
      <c r="D716" s="192"/>
      <c r="E716" s="198"/>
      <c r="F716" s="192"/>
      <c r="G716" s="138" t="s">
        <v>432</v>
      </c>
      <c r="H716" s="194"/>
      <c r="I716" s="199">
        <v>70235</v>
      </c>
    </row>
    <row r="717" spans="1:9" ht="17.25" x14ac:dyDescent="0.35">
      <c r="A717" s="200"/>
      <c r="B717" s="192"/>
      <c r="C717" s="193"/>
      <c r="D717" s="192" t="s">
        <v>261</v>
      </c>
      <c r="E717" s="198">
        <v>1</v>
      </c>
      <c r="F717" s="192">
        <v>5</v>
      </c>
      <c r="G717" s="192"/>
      <c r="H717" s="194"/>
      <c r="I717" s="199" t="s">
        <v>898</v>
      </c>
    </row>
    <row r="718" spans="1:9" ht="17.25" x14ac:dyDescent="0.35">
      <c r="A718" s="200"/>
      <c r="B718" s="192"/>
      <c r="C718" s="193"/>
      <c r="D718" s="192" t="s">
        <v>261</v>
      </c>
      <c r="E718" s="198">
        <v>2</v>
      </c>
      <c r="F718" s="192">
        <v>0</v>
      </c>
      <c r="G718" s="192"/>
      <c r="H718" s="194"/>
      <c r="I718" s="199" t="s">
        <v>1188</v>
      </c>
    </row>
    <row r="719" spans="1:9" ht="17.25" x14ac:dyDescent="0.35">
      <c r="A719" s="200"/>
      <c r="B719" s="192"/>
      <c r="C719" s="193"/>
      <c r="D719" s="192" t="s">
        <v>261</v>
      </c>
      <c r="E719" s="198">
        <v>2</v>
      </c>
      <c r="F719" s="192">
        <v>0</v>
      </c>
      <c r="G719" s="192"/>
      <c r="H719" s="194"/>
      <c r="I719" s="199" t="s">
        <v>1189</v>
      </c>
    </row>
    <row r="720" spans="1:9" ht="17.25" x14ac:dyDescent="0.35">
      <c r="A720" s="200"/>
      <c r="B720" s="192"/>
      <c r="C720" s="193"/>
      <c r="D720" s="192" t="s">
        <v>261</v>
      </c>
      <c r="E720" s="198">
        <v>2</v>
      </c>
      <c r="F720" s="192">
        <v>0</v>
      </c>
      <c r="G720" s="192"/>
      <c r="H720" s="194"/>
      <c r="I720" s="199" t="s">
        <v>1190</v>
      </c>
    </row>
    <row r="721" spans="1:9" ht="17.25" x14ac:dyDescent="0.35">
      <c r="A721" s="200"/>
      <c r="B721" s="192"/>
      <c r="C721" s="193"/>
      <c r="D721" s="192" t="s">
        <v>261</v>
      </c>
      <c r="E721" s="198">
        <v>1</v>
      </c>
      <c r="F721" s="192">
        <v>0</v>
      </c>
      <c r="G721" s="192"/>
      <c r="H721" s="194"/>
      <c r="I721" s="199" t="s">
        <v>1191</v>
      </c>
    </row>
    <row r="722" spans="1:9" ht="17.25" x14ac:dyDescent="0.35">
      <c r="A722" s="200"/>
      <c r="B722" s="192"/>
      <c r="C722" s="193"/>
      <c r="D722" s="192" t="s">
        <v>261</v>
      </c>
      <c r="E722" s="198">
        <v>2</v>
      </c>
      <c r="F722" s="192">
        <v>0</v>
      </c>
      <c r="G722" s="192"/>
      <c r="H722" s="194"/>
      <c r="I722" s="199" t="s">
        <v>1192</v>
      </c>
    </row>
    <row r="723" spans="1:9" ht="17.25" x14ac:dyDescent="0.35">
      <c r="A723" s="200"/>
      <c r="B723" s="192"/>
      <c r="C723" s="193"/>
      <c r="D723" s="192" t="s">
        <v>261</v>
      </c>
      <c r="E723" s="198">
        <v>2</v>
      </c>
      <c r="F723" s="192">
        <v>0</v>
      </c>
      <c r="G723" s="192"/>
      <c r="H723" s="194"/>
      <c r="I723" s="199" t="s">
        <v>1193</v>
      </c>
    </row>
    <row r="724" spans="1:9" ht="17.25" x14ac:dyDescent="0.35">
      <c r="A724" s="200"/>
      <c r="B724" s="192"/>
      <c r="C724" s="193"/>
      <c r="D724" s="192" t="s">
        <v>261</v>
      </c>
      <c r="E724" s="198">
        <v>1</v>
      </c>
      <c r="F724" s="192">
        <v>1</v>
      </c>
      <c r="G724" s="192"/>
      <c r="H724" s="194"/>
      <c r="I724" s="199" t="s">
        <v>1194</v>
      </c>
    </row>
    <row r="725" spans="1:9" ht="17.25" x14ac:dyDescent="0.35">
      <c r="A725" s="200"/>
      <c r="B725" s="192"/>
      <c r="C725" s="193"/>
      <c r="D725" s="192" t="s">
        <v>261</v>
      </c>
      <c r="E725" s="198">
        <v>1011</v>
      </c>
      <c r="F725" s="192"/>
      <c r="G725" s="192"/>
      <c r="H725" s="194"/>
      <c r="I725" s="199" t="s">
        <v>1195</v>
      </c>
    </row>
    <row r="726" spans="1:9" ht="17.25" x14ac:dyDescent="0.35">
      <c r="A726" s="201" t="s">
        <v>1196</v>
      </c>
      <c r="B726" s="202" t="s">
        <v>1197</v>
      </c>
      <c r="C726" s="203" t="s">
        <v>292</v>
      </c>
      <c r="D726" s="203"/>
      <c r="E726" s="202"/>
      <c r="F726" s="203"/>
      <c r="G726" s="138" t="s">
        <v>432</v>
      </c>
      <c r="H726" s="204"/>
      <c r="I726" s="205">
        <v>73713</v>
      </c>
    </row>
    <row r="727" spans="1:9" ht="17.25" x14ac:dyDescent="0.35">
      <c r="A727" s="206"/>
      <c r="B727" s="207"/>
      <c r="C727" s="208"/>
      <c r="D727" s="208" t="s">
        <v>261</v>
      </c>
      <c r="E727" s="207">
        <v>1</v>
      </c>
      <c r="F727" s="208">
        <v>2</v>
      </c>
      <c r="G727" s="208"/>
      <c r="H727" s="209"/>
      <c r="I727" s="210" t="s">
        <v>898</v>
      </c>
    </row>
    <row r="728" spans="1:9" ht="17.25" x14ac:dyDescent="0.35">
      <c r="A728" s="206"/>
      <c r="B728" s="207"/>
      <c r="C728" s="208"/>
      <c r="D728" s="208" t="s">
        <v>261</v>
      </c>
      <c r="E728" s="207">
        <v>4</v>
      </c>
      <c r="F728" s="208">
        <v>120</v>
      </c>
      <c r="G728" s="208"/>
      <c r="H728" s="209"/>
      <c r="I728" s="210" t="s">
        <v>1198</v>
      </c>
    </row>
    <row r="729" spans="1:9" ht="17.25" x14ac:dyDescent="0.35">
      <c r="A729" s="206"/>
      <c r="B729" s="207"/>
      <c r="C729" s="208"/>
      <c r="D729" s="208" t="s">
        <v>261</v>
      </c>
      <c r="E729" s="207">
        <v>4</v>
      </c>
      <c r="F729" s="208">
        <v>120</v>
      </c>
      <c r="G729" s="208"/>
      <c r="H729" s="209"/>
      <c r="I729" s="210" t="s">
        <v>1199</v>
      </c>
    </row>
    <row r="730" spans="1:9" ht="17.25" x14ac:dyDescent="0.35">
      <c r="A730" s="206"/>
      <c r="B730" s="207"/>
      <c r="C730" s="208"/>
      <c r="D730" s="208" t="s">
        <v>261</v>
      </c>
      <c r="E730" s="207">
        <v>4</v>
      </c>
      <c r="F730" s="208">
        <v>120</v>
      </c>
      <c r="G730" s="208"/>
      <c r="H730" s="209"/>
      <c r="I730" s="210" t="s">
        <v>1200</v>
      </c>
    </row>
    <row r="731" spans="1:9" ht="17.25" x14ac:dyDescent="0.35">
      <c r="A731" s="206"/>
      <c r="B731" s="207"/>
      <c r="C731" s="208"/>
      <c r="D731" s="208" t="s">
        <v>261</v>
      </c>
      <c r="E731" s="207">
        <v>1</v>
      </c>
      <c r="F731" s="208">
        <v>0</v>
      </c>
      <c r="G731" s="208"/>
      <c r="H731" s="209"/>
      <c r="I731" s="210" t="s">
        <v>1201</v>
      </c>
    </row>
    <row r="732" spans="1:9" ht="17.25" x14ac:dyDescent="0.35">
      <c r="A732" s="206"/>
      <c r="B732" s="207"/>
      <c r="C732" s="208"/>
      <c r="D732" s="208" t="s">
        <v>261</v>
      </c>
      <c r="E732" s="207">
        <v>1</v>
      </c>
      <c r="F732" s="208">
        <v>3</v>
      </c>
      <c r="G732" s="208"/>
      <c r="H732" s="209"/>
      <c r="I732" s="210" t="s">
        <v>1202</v>
      </c>
    </row>
    <row r="733" spans="1:9" ht="17.25" x14ac:dyDescent="0.35">
      <c r="A733" s="206"/>
      <c r="B733" s="207"/>
      <c r="C733" s="208"/>
      <c r="D733" s="208" t="s">
        <v>261</v>
      </c>
      <c r="E733" s="207">
        <v>1</v>
      </c>
      <c r="F733" s="208">
        <v>0</v>
      </c>
      <c r="G733" s="208"/>
      <c r="H733" s="209"/>
      <c r="I733" s="210" t="s">
        <v>1203</v>
      </c>
    </row>
    <row r="734" spans="1:9" ht="17.25" x14ac:dyDescent="0.35">
      <c r="A734" s="206"/>
      <c r="B734" s="207"/>
      <c r="C734" s="208"/>
      <c r="D734" s="208" t="s">
        <v>261</v>
      </c>
      <c r="E734" s="207">
        <v>4</v>
      </c>
      <c r="F734" s="208">
        <v>300</v>
      </c>
      <c r="G734" s="208"/>
      <c r="H734" s="209"/>
      <c r="I734" s="210" t="s">
        <v>1204</v>
      </c>
    </row>
    <row r="735" spans="1:9" ht="17.25" x14ac:dyDescent="0.35">
      <c r="A735" s="206"/>
      <c r="B735" s="207"/>
      <c r="C735" s="208"/>
      <c r="D735" s="208" t="s">
        <v>261</v>
      </c>
      <c r="E735" s="207">
        <v>4</v>
      </c>
      <c r="F735" s="208">
        <v>5</v>
      </c>
      <c r="G735" s="208"/>
      <c r="H735" s="209"/>
      <c r="I735" s="210" t="s">
        <v>1205</v>
      </c>
    </row>
    <row r="736" spans="1:9" ht="17.25" x14ac:dyDescent="0.35">
      <c r="A736" s="206"/>
      <c r="B736" s="207"/>
      <c r="C736" s="208"/>
      <c r="D736" s="208" t="s">
        <v>262</v>
      </c>
      <c r="E736" s="207">
        <v>32</v>
      </c>
      <c r="F736" s="208"/>
      <c r="G736" s="208"/>
      <c r="H736" s="209"/>
      <c r="I736" s="210" t="s">
        <v>1206</v>
      </c>
    </row>
    <row r="737" spans="1:9" ht="17.25" x14ac:dyDescent="0.35">
      <c r="A737" s="206"/>
      <c r="B737" s="207"/>
      <c r="C737" s="208"/>
      <c r="D737" s="208" t="s">
        <v>261</v>
      </c>
      <c r="E737" s="207">
        <v>4</v>
      </c>
      <c r="F737" s="208">
        <v>-117</v>
      </c>
      <c r="G737" s="208"/>
      <c r="H737" s="209"/>
      <c r="I737" s="210" t="s">
        <v>1207</v>
      </c>
    </row>
    <row r="738" spans="1:9" ht="17.25" x14ac:dyDescent="0.35">
      <c r="A738" s="206"/>
      <c r="B738" s="207"/>
      <c r="C738" s="208"/>
      <c r="D738" s="208" t="s">
        <v>261</v>
      </c>
      <c r="E738" s="207">
        <v>4</v>
      </c>
      <c r="F738" s="208">
        <v>-115</v>
      </c>
      <c r="G738" s="208"/>
      <c r="H738" s="209"/>
      <c r="I738" s="210" t="s">
        <v>1208</v>
      </c>
    </row>
    <row r="739" spans="1:9" ht="17.25" x14ac:dyDescent="0.35">
      <c r="A739" s="206"/>
      <c r="B739" s="207"/>
      <c r="C739" s="208"/>
      <c r="D739" s="208" t="s">
        <v>261</v>
      </c>
      <c r="E739" s="207">
        <v>4</v>
      </c>
      <c r="F739" s="208">
        <v>-110</v>
      </c>
      <c r="G739" s="208"/>
      <c r="H739" s="209"/>
      <c r="I739" s="210" t="s">
        <v>1209</v>
      </c>
    </row>
    <row r="740" spans="1:9" ht="17.25" x14ac:dyDescent="0.35">
      <c r="A740" s="206"/>
      <c r="B740" s="207"/>
      <c r="C740" s="208"/>
      <c r="D740" s="208" t="s">
        <v>261</v>
      </c>
      <c r="E740" s="207">
        <v>4</v>
      </c>
      <c r="F740" s="208">
        <v>-7</v>
      </c>
      <c r="G740" s="208"/>
      <c r="H740" s="209"/>
      <c r="I740" s="210" t="s">
        <v>1210</v>
      </c>
    </row>
    <row r="741" spans="1:9" ht="17.25" x14ac:dyDescent="0.35">
      <c r="A741" s="206"/>
      <c r="B741" s="207"/>
      <c r="C741" s="208"/>
      <c r="D741" s="208" t="s">
        <v>261</v>
      </c>
      <c r="E741" s="207">
        <v>4</v>
      </c>
      <c r="F741" s="208">
        <v>-85</v>
      </c>
      <c r="G741" s="208"/>
      <c r="H741" s="209"/>
      <c r="I741" s="210" t="s">
        <v>1211</v>
      </c>
    </row>
    <row r="742" spans="1:9" ht="17.25" x14ac:dyDescent="0.35">
      <c r="A742" s="206"/>
      <c r="B742" s="207"/>
      <c r="C742" s="208"/>
      <c r="D742" s="208" t="s">
        <v>261</v>
      </c>
      <c r="E742" s="207">
        <v>4</v>
      </c>
      <c r="F742" s="208">
        <v>-95</v>
      </c>
      <c r="G742" s="208"/>
      <c r="H742" s="209"/>
      <c r="I742" s="210" t="s">
        <v>1212</v>
      </c>
    </row>
    <row r="743" spans="1:9" ht="17.25" x14ac:dyDescent="0.35">
      <c r="A743" s="206"/>
      <c r="B743" s="207"/>
      <c r="C743" s="208"/>
      <c r="D743" s="208" t="s">
        <v>262</v>
      </c>
      <c r="E743" s="207">
        <v>47</v>
      </c>
      <c r="F743" s="208"/>
      <c r="G743" s="208"/>
      <c r="H743" s="209"/>
      <c r="I743" s="210" t="s">
        <v>1213</v>
      </c>
    </row>
    <row r="744" spans="1:9" ht="17.25" x14ac:dyDescent="0.35">
      <c r="A744" s="197" t="s">
        <v>1214</v>
      </c>
      <c r="B744" s="192" t="s">
        <v>1215</v>
      </c>
      <c r="C744" s="193" t="s">
        <v>292</v>
      </c>
      <c r="D744" s="192"/>
      <c r="E744" s="198"/>
      <c r="F744" s="192"/>
      <c r="G744" s="138" t="s">
        <v>432</v>
      </c>
      <c r="H744" s="194"/>
      <c r="I744" s="199">
        <v>71581</v>
      </c>
    </row>
    <row r="745" spans="1:9" ht="17.25" x14ac:dyDescent="0.35">
      <c r="A745" s="200"/>
      <c r="B745" s="192"/>
      <c r="C745" s="193"/>
      <c r="D745" s="192" t="s">
        <v>261</v>
      </c>
      <c r="E745" s="198">
        <v>1</v>
      </c>
      <c r="F745" s="192">
        <v>0</v>
      </c>
      <c r="G745" s="192"/>
      <c r="H745" s="194"/>
      <c r="I745" s="199" t="s">
        <v>1078</v>
      </c>
    </row>
    <row r="746" spans="1:9" ht="17.25" x14ac:dyDescent="0.35">
      <c r="A746" s="200"/>
      <c r="B746" s="192"/>
      <c r="C746" s="193"/>
      <c r="D746" s="192" t="s">
        <v>261</v>
      </c>
      <c r="E746" s="198">
        <v>4</v>
      </c>
      <c r="F746" s="192">
        <v>75</v>
      </c>
      <c r="G746" s="192"/>
      <c r="H746" s="194"/>
      <c r="I746" s="199" t="s">
        <v>1216</v>
      </c>
    </row>
    <row r="747" spans="1:9" ht="17.25" x14ac:dyDescent="0.35">
      <c r="A747" s="200"/>
      <c r="B747" s="192"/>
      <c r="C747" s="193"/>
      <c r="D747" s="192" t="s">
        <v>261</v>
      </c>
      <c r="E747" s="198">
        <v>4</v>
      </c>
      <c r="F747" s="192">
        <v>85</v>
      </c>
      <c r="G747" s="192"/>
      <c r="H747" s="194"/>
      <c r="I747" s="199" t="s">
        <v>1217</v>
      </c>
    </row>
    <row r="748" spans="1:9" ht="17.25" x14ac:dyDescent="0.35">
      <c r="A748" s="200"/>
      <c r="B748" s="192"/>
      <c r="C748" s="193"/>
      <c r="D748" s="192" t="s">
        <v>261</v>
      </c>
      <c r="E748" s="198">
        <v>2</v>
      </c>
      <c r="F748" s="192">
        <v>5</v>
      </c>
      <c r="G748" s="192"/>
      <c r="H748" s="194"/>
      <c r="I748" s="199" t="s">
        <v>1218</v>
      </c>
    </row>
    <row r="749" spans="1:9" ht="17.25" x14ac:dyDescent="0.35">
      <c r="A749" s="200"/>
      <c r="B749" s="192"/>
      <c r="C749" s="193"/>
      <c r="D749" s="192" t="s">
        <v>261</v>
      </c>
      <c r="E749" s="198">
        <v>2</v>
      </c>
      <c r="F749" s="192">
        <v>3</v>
      </c>
      <c r="G749" s="192"/>
      <c r="H749" s="194"/>
      <c r="I749" s="199" t="s">
        <v>1219</v>
      </c>
    </row>
    <row r="750" spans="1:9" ht="17.25" x14ac:dyDescent="0.35">
      <c r="A750" s="200"/>
      <c r="B750" s="192"/>
      <c r="C750" s="193"/>
      <c r="D750" s="192" t="s">
        <v>261</v>
      </c>
      <c r="E750" s="198">
        <v>499</v>
      </c>
      <c r="F750" s="192"/>
      <c r="G750" s="192"/>
      <c r="H750" s="194"/>
      <c r="I750" s="199" t="s">
        <v>1220</v>
      </c>
    </row>
    <row r="751" spans="1:9" ht="17.25" x14ac:dyDescent="0.35">
      <c r="A751" s="197" t="s">
        <v>1221</v>
      </c>
      <c r="B751" s="192" t="s">
        <v>1222</v>
      </c>
      <c r="C751" s="193" t="s">
        <v>292</v>
      </c>
      <c r="D751" s="192"/>
      <c r="E751" s="198"/>
      <c r="F751" s="192"/>
      <c r="G751" s="138" t="s">
        <v>432</v>
      </c>
      <c r="H751" s="194"/>
      <c r="I751" s="199">
        <v>72553</v>
      </c>
    </row>
    <row r="752" spans="1:9" ht="17.25" x14ac:dyDescent="0.35">
      <c r="A752" s="200"/>
      <c r="B752" s="192"/>
      <c r="C752" s="193"/>
      <c r="D752" s="192" t="s">
        <v>261</v>
      </c>
      <c r="E752" s="198">
        <v>1</v>
      </c>
      <c r="F752" s="192">
        <v>0</v>
      </c>
      <c r="G752" s="192"/>
      <c r="H752" s="194"/>
      <c r="I752" s="199"/>
    </row>
    <row r="753" spans="1:9" ht="17.25" x14ac:dyDescent="0.35">
      <c r="A753" s="211" t="s">
        <v>1223</v>
      </c>
      <c r="B753" s="136" t="s">
        <v>1224</v>
      </c>
      <c r="C753" s="137" t="s">
        <v>292</v>
      </c>
      <c r="D753" s="136"/>
      <c r="E753" s="169"/>
      <c r="F753" s="136"/>
      <c r="G753" s="138" t="s">
        <v>432</v>
      </c>
      <c r="H753" s="138"/>
      <c r="I753" s="139">
        <v>71597</v>
      </c>
    </row>
    <row r="754" spans="1:9" ht="17.25" x14ac:dyDescent="0.35">
      <c r="A754" s="140"/>
      <c r="B754" s="136"/>
      <c r="C754" s="137"/>
      <c r="D754" s="136" t="s">
        <v>261</v>
      </c>
      <c r="E754" s="169">
        <v>1</v>
      </c>
      <c r="F754" s="136">
        <v>0</v>
      </c>
      <c r="G754" s="136"/>
      <c r="H754" s="138"/>
      <c r="I754" s="139" t="s">
        <v>898</v>
      </c>
    </row>
    <row r="755" spans="1:9" ht="17.25" x14ac:dyDescent="0.35">
      <c r="A755" s="140"/>
      <c r="B755" s="136"/>
      <c r="C755" s="137"/>
      <c r="D755" s="136" t="s">
        <v>261</v>
      </c>
      <c r="E755" s="169">
        <v>1</v>
      </c>
      <c r="F755" s="136">
        <v>1</v>
      </c>
      <c r="G755" s="136"/>
      <c r="H755" s="138"/>
      <c r="I755" s="139" t="s">
        <v>1225</v>
      </c>
    </row>
    <row r="756" spans="1:9" ht="17.25" x14ac:dyDescent="0.35">
      <c r="A756" s="140"/>
      <c r="B756" s="136"/>
      <c r="C756" s="137"/>
      <c r="D756" s="136" t="s">
        <v>261</v>
      </c>
      <c r="E756" s="169">
        <v>1</v>
      </c>
      <c r="F756" s="136">
        <v>1</v>
      </c>
      <c r="G756" s="136"/>
      <c r="H756" s="138"/>
      <c r="I756" s="139" t="s">
        <v>1226</v>
      </c>
    </row>
    <row r="757" spans="1:9" ht="17.25" x14ac:dyDescent="0.35">
      <c r="A757" s="140"/>
      <c r="B757" s="136"/>
      <c r="C757" s="137"/>
      <c r="D757" s="136" t="s">
        <v>261</v>
      </c>
      <c r="E757" s="169">
        <v>29</v>
      </c>
      <c r="F757" s="136"/>
      <c r="G757" s="136"/>
      <c r="H757" s="138"/>
      <c r="I757" s="139" t="s">
        <v>926</v>
      </c>
    </row>
    <row r="758" spans="1:9" ht="17.25" x14ac:dyDescent="0.35">
      <c r="A758" s="148" t="s">
        <v>1227</v>
      </c>
      <c r="B758" s="149" t="s">
        <v>1228</v>
      </c>
      <c r="C758" s="150" t="s">
        <v>263</v>
      </c>
      <c r="D758" s="149"/>
      <c r="E758" s="149"/>
      <c r="F758" s="149"/>
      <c r="G758" s="138" t="s">
        <v>432</v>
      </c>
      <c r="H758" s="151" t="s">
        <v>1229</v>
      </c>
      <c r="I758" s="152"/>
    </row>
    <row r="759" spans="1:9" ht="17.25" x14ac:dyDescent="0.35">
      <c r="A759" s="148"/>
      <c r="B759" s="149"/>
      <c r="C759" s="150"/>
      <c r="D759" s="149"/>
      <c r="E759" s="149"/>
      <c r="F759" s="149"/>
      <c r="G759" s="150"/>
      <c r="H759" s="151"/>
      <c r="I759" s="152"/>
    </row>
    <row r="760" spans="1:9" ht="18" thickBot="1" x14ac:dyDescent="0.4">
      <c r="A760" s="109" t="s">
        <v>1281</v>
      </c>
      <c r="B760" s="115"/>
      <c r="C760" s="116"/>
      <c r="D760" s="115"/>
      <c r="E760" s="110"/>
      <c r="F760" s="115"/>
      <c r="G760" s="117"/>
      <c r="H760" s="105"/>
      <c r="I760" s="99"/>
    </row>
    <row r="761" spans="1:9" ht="13.5" thickBot="1" x14ac:dyDescent="0.25">
      <c r="A761" s="34"/>
      <c r="B761" s="34"/>
      <c r="C761" s="34"/>
      <c r="D761" s="34"/>
      <c r="E761" s="34"/>
      <c r="F761" s="34"/>
      <c r="G761" s="34"/>
      <c r="H761" s="61"/>
      <c r="I761" s="34"/>
    </row>
    <row r="762" spans="1:9" ht="19.5" x14ac:dyDescent="0.4">
      <c r="A762" s="232" t="s">
        <v>317</v>
      </c>
      <c r="B762" s="233"/>
      <c r="C762" s="233"/>
      <c r="D762" s="233"/>
      <c r="E762" s="233"/>
      <c r="F762" s="233"/>
      <c r="G762" s="233"/>
      <c r="H762" s="234"/>
    </row>
    <row r="763" spans="1:9" ht="17.25" x14ac:dyDescent="0.35">
      <c r="A763" s="95" t="s">
        <v>333</v>
      </c>
      <c r="B763" s="95"/>
      <c r="C763" s="95" t="s">
        <v>258</v>
      </c>
      <c r="D763" s="95" t="s">
        <v>334</v>
      </c>
      <c r="E763" s="95" t="s">
        <v>335</v>
      </c>
      <c r="F763" s="95" t="s">
        <v>336</v>
      </c>
      <c r="G763" s="95" t="s">
        <v>266</v>
      </c>
      <c r="H763" s="96"/>
    </row>
    <row r="764" spans="1:9" ht="17.25" x14ac:dyDescent="0.35">
      <c r="A764" s="220" t="s">
        <v>339</v>
      </c>
      <c r="B764" s="220"/>
      <c r="C764" s="224" t="s">
        <v>318</v>
      </c>
      <c r="D764" s="224"/>
      <c r="E764" s="224"/>
      <c r="F764" s="224"/>
      <c r="G764" s="224" t="s">
        <v>129</v>
      </c>
      <c r="H764" s="220"/>
    </row>
    <row r="765" spans="1:9" ht="17.25" x14ac:dyDescent="0.35">
      <c r="A765" s="220" t="s">
        <v>319</v>
      </c>
      <c r="B765" s="220"/>
      <c r="C765" s="224"/>
      <c r="D765" s="224" t="s">
        <v>261</v>
      </c>
      <c r="E765" s="224">
        <v>1</v>
      </c>
      <c r="F765" s="224">
        <v>0</v>
      </c>
      <c r="G765" s="224"/>
      <c r="H765" s="220"/>
    </row>
    <row r="766" spans="1:9" ht="17.25" x14ac:dyDescent="0.35">
      <c r="A766" s="220" t="s">
        <v>320</v>
      </c>
      <c r="B766" s="220"/>
      <c r="C766" s="224"/>
      <c r="D766" s="224" t="s">
        <v>261</v>
      </c>
      <c r="E766" s="224">
        <v>2</v>
      </c>
      <c r="F766" s="224">
        <v>2</v>
      </c>
      <c r="G766" s="224"/>
      <c r="H766" s="220"/>
    </row>
    <row r="767" spans="1:9" ht="17.25" x14ac:dyDescent="0.35">
      <c r="A767" s="220" t="s">
        <v>321</v>
      </c>
      <c r="B767" s="220"/>
      <c r="C767" s="224"/>
      <c r="D767" s="224" t="s">
        <v>261</v>
      </c>
      <c r="E767" s="224">
        <v>2</v>
      </c>
      <c r="F767" s="224" t="s">
        <v>337</v>
      </c>
      <c r="G767" s="224"/>
      <c r="H767" s="220"/>
    </row>
    <row r="768" spans="1:9" ht="17.25" x14ac:dyDescent="0.35">
      <c r="A768" s="220" t="s">
        <v>322</v>
      </c>
      <c r="B768" s="220"/>
      <c r="C768" s="224"/>
      <c r="D768" s="224" t="s">
        <v>261</v>
      </c>
      <c r="E768" s="224">
        <v>1</v>
      </c>
      <c r="F768" s="224" t="s">
        <v>4</v>
      </c>
      <c r="G768" s="224"/>
      <c r="H768" s="220"/>
    </row>
    <row r="769" spans="1:9" ht="17.25" x14ac:dyDescent="0.35">
      <c r="A769" s="220" t="s">
        <v>323</v>
      </c>
      <c r="B769" s="220"/>
      <c r="C769" s="224"/>
      <c r="D769" s="224" t="s">
        <v>261</v>
      </c>
      <c r="E769" s="224">
        <v>2</v>
      </c>
      <c r="F769" s="224">
        <v>4</v>
      </c>
      <c r="G769" s="224"/>
      <c r="H769" s="220"/>
    </row>
    <row r="770" spans="1:9" ht="17.25" x14ac:dyDescent="0.35">
      <c r="A770" s="221" t="s">
        <v>324</v>
      </c>
      <c r="B770" s="221"/>
      <c r="C770" s="225"/>
      <c r="D770" s="225" t="s">
        <v>261</v>
      </c>
      <c r="E770" s="225">
        <f>F769</f>
        <v>4</v>
      </c>
      <c r="F770" s="225" t="s">
        <v>1324</v>
      </c>
      <c r="G770" s="225"/>
      <c r="H770" s="221"/>
      <c r="I770" s="17"/>
    </row>
    <row r="771" spans="1:9" ht="17.25" x14ac:dyDescent="0.35">
      <c r="A771" s="220" t="s">
        <v>325</v>
      </c>
      <c r="B771" s="220"/>
      <c r="C771" s="224"/>
      <c r="D771" s="224" t="s">
        <v>261</v>
      </c>
      <c r="E771" s="224">
        <v>1</v>
      </c>
      <c r="F771" s="224" t="s">
        <v>5</v>
      </c>
      <c r="G771" s="224"/>
      <c r="H771" s="220"/>
    </row>
    <row r="772" spans="1:9" ht="17.25" x14ac:dyDescent="0.35">
      <c r="A772" s="220" t="s">
        <v>326</v>
      </c>
      <c r="B772" s="220"/>
      <c r="C772" s="224"/>
      <c r="D772" s="224" t="s">
        <v>261</v>
      </c>
      <c r="E772" s="224">
        <v>2</v>
      </c>
      <c r="F772" s="224">
        <f>LEN(F773)</f>
        <v>17</v>
      </c>
      <c r="G772" s="224"/>
      <c r="H772" s="220"/>
    </row>
    <row r="773" spans="1:9" ht="17.25" x14ac:dyDescent="0.35">
      <c r="A773" s="220" t="s">
        <v>327</v>
      </c>
      <c r="B773" s="220"/>
      <c r="C773" s="224"/>
      <c r="D773" s="224" t="s">
        <v>262</v>
      </c>
      <c r="E773" s="224">
        <f>F772</f>
        <v>17</v>
      </c>
      <c r="F773" s="224" t="s">
        <v>755</v>
      </c>
      <c r="G773" s="224"/>
      <c r="H773" s="220" t="s">
        <v>364</v>
      </c>
    </row>
    <row r="774" spans="1:9" ht="17.25" x14ac:dyDescent="0.35">
      <c r="A774" s="220" t="s">
        <v>328</v>
      </c>
      <c r="B774" s="220"/>
      <c r="C774" s="224"/>
      <c r="D774" s="224" t="s">
        <v>261</v>
      </c>
      <c r="E774" s="224">
        <v>1</v>
      </c>
      <c r="F774" s="224" t="s">
        <v>338</v>
      </c>
      <c r="G774" s="224"/>
      <c r="H774" s="220"/>
    </row>
    <row r="775" spans="1:9" ht="17.25" x14ac:dyDescent="0.35">
      <c r="A775" s="220" t="s">
        <v>329</v>
      </c>
      <c r="B775" s="220"/>
      <c r="C775" s="224"/>
      <c r="D775" s="224" t="s">
        <v>261</v>
      </c>
      <c r="E775" s="224">
        <v>2</v>
      </c>
      <c r="F775" s="224">
        <f>SUM(E776:E777)+E778*F777</f>
        <v>6</v>
      </c>
      <c r="G775" s="224"/>
      <c r="H775" s="220"/>
    </row>
    <row r="776" spans="1:9" ht="17.25" x14ac:dyDescent="0.35">
      <c r="A776" s="220" t="s">
        <v>330</v>
      </c>
      <c r="B776" s="220"/>
      <c r="C776" s="224"/>
      <c r="D776" s="224" t="s">
        <v>261</v>
      </c>
      <c r="E776" s="224">
        <v>1</v>
      </c>
      <c r="F776" s="224">
        <v>0</v>
      </c>
      <c r="G776" s="224"/>
      <c r="H776" s="220"/>
    </row>
    <row r="777" spans="1:9" ht="17.25" x14ac:dyDescent="0.35">
      <c r="A777" s="220" t="s">
        <v>331</v>
      </c>
      <c r="B777" s="220"/>
      <c r="C777" s="224"/>
      <c r="D777" s="224" t="s">
        <v>261</v>
      </c>
      <c r="E777" s="224">
        <v>1</v>
      </c>
      <c r="F777" s="224">
        <f>LEN(F778)-LEN(SUBSTITUTE(F778,",","")) +1</f>
        <v>1</v>
      </c>
      <c r="G777" s="224"/>
      <c r="H777" s="220"/>
    </row>
    <row r="778" spans="1:9" ht="17.25" x14ac:dyDescent="0.35">
      <c r="A778" s="220" t="s">
        <v>332</v>
      </c>
      <c r="B778" s="220"/>
      <c r="C778" s="224"/>
      <c r="D778" s="224" t="s">
        <v>269</v>
      </c>
      <c r="E778" s="224">
        <v>4</v>
      </c>
      <c r="F778" s="224" t="s">
        <v>365</v>
      </c>
      <c r="G778" s="224"/>
      <c r="H778" s="220"/>
    </row>
    <row r="779" spans="1:9" ht="17.25" x14ac:dyDescent="0.35">
      <c r="A779" s="220" t="s">
        <v>756</v>
      </c>
      <c r="B779" s="220"/>
      <c r="C779" s="224"/>
      <c r="D779" s="224" t="s">
        <v>261</v>
      </c>
      <c r="E779" s="224">
        <v>1</v>
      </c>
      <c r="F779" s="224" t="s">
        <v>757</v>
      </c>
      <c r="G779" s="224"/>
      <c r="H779" s="220"/>
    </row>
    <row r="780" spans="1:9" ht="17.25" x14ac:dyDescent="0.35">
      <c r="A780" s="220" t="s">
        <v>758</v>
      </c>
      <c r="B780" s="220"/>
      <c r="C780" s="224"/>
      <c r="D780" s="224" t="s">
        <v>261</v>
      </c>
      <c r="E780" s="224">
        <v>2</v>
      </c>
      <c r="F780" s="224">
        <v>4</v>
      </c>
      <c r="G780" s="224"/>
      <c r="H780" s="220"/>
    </row>
    <row r="781" spans="1:9" ht="17.25" x14ac:dyDescent="0.35">
      <c r="A781" s="221" t="s">
        <v>759</v>
      </c>
      <c r="B781" s="221"/>
      <c r="C781" s="225"/>
      <c r="D781" s="225" t="s">
        <v>261</v>
      </c>
      <c r="E781" s="225">
        <v>4</v>
      </c>
      <c r="F781" s="225" t="str">
        <f>$F$770</f>
        <v>0x05010203</v>
      </c>
      <c r="G781" s="225"/>
      <c r="H781" s="221"/>
    </row>
    <row r="782" spans="1:9" ht="17.25" x14ac:dyDescent="0.35">
      <c r="A782" s="226" t="s">
        <v>1252</v>
      </c>
      <c r="B782" s="226"/>
      <c r="C782" s="222"/>
      <c r="D782" s="222" t="s">
        <v>261</v>
      </c>
      <c r="E782" s="222">
        <v>1</v>
      </c>
      <c r="F782" s="224" t="s">
        <v>1253</v>
      </c>
      <c r="G782" s="222"/>
      <c r="H782" s="226"/>
    </row>
    <row r="783" spans="1:9" ht="17.25" x14ac:dyDescent="0.35">
      <c r="A783" s="226" t="s">
        <v>1254</v>
      </c>
      <c r="B783" s="226"/>
      <c r="C783" s="222"/>
      <c r="D783" s="222" t="s">
        <v>261</v>
      </c>
      <c r="E783" s="222">
        <v>2</v>
      </c>
      <c r="F783" s="227">
        <f>2+F785*E786*2</f>
        <v>6</v>
      </c>
      <c r="G783" s="222"/>
      <c r="H783" s="226"/>
    </row>
    <row r="784" spans="1:9" ht="17.25" x14ac:dyDescent="0.35">
      <c r="A784" s="226" t="s">
        <v>1255</v>
      </c>
      <c r="B784" s="226"/>
      <c r="C784" s="222"/>
      <c r="D784" s="222" t="s">
        <v>261</v>
      </c>
      <c r="E784" s="222">
        <v>1</v>
      </c>
      <c r="F784" s="224">
        <v>0</v>
      </c>
      <c r="G784" s="222"/>
      <c r="H784" s="226" t="s">
        <v>1256</v>
      </c>
    </row>
    <row r="785" spans="1:8" ht="17.25" x14ac:dyDescent="0.35">
      <c r="A785" s="226" t="s">
        <v>1257</v>
      </c>
      <c r="B785" s="226"/>
      <c r="C785" s="222"/>
      <c r="D785" s="222" t="s">
        <v>261</v>
      </c>
      <c r="E785" s="222">
        <v>1</v>
      </c>
      <c r="F785" s="227">
        <f>SUM(LEN(F786)-LEN(SUBSTITUTE(F786,"-","")))</f>
        <v>1</v>
      </c>
      <c r="G785" s="222"/>
      <c r="H785" s="226" t="s">
        <v>1258</v>
      </c>
    </row>
    <row r="786" spans="1:8" ht="17.25" x14ac:dyDescent="0.35">
      <c r="A786" s="226" t="s">
        <v>1259</v>
      </c>
      <c r="B786" s="226"/>
      <c r="C786" s="222"/>
      <c r="D786" s="222" t="s">
        <v>269</v>
      </c>
      <c r="E786" s="222">
        <v>2</v>
      </c>
      <c r="F786" s="222" t="s">
        <v>1265</v>
      </c>
      <c r="G786" s="222"/>
      <c r="H786" s="226"/>
    </row>
    <row r="787" spans="1:8" ht="17.25" x14ac:dyDescent="0.35">
      <c r="A787" s="223" t="s">
        <v>1260</v>
      </c>
      <c r="B787" s="223"/>
      <c r="C787" s="228"/>
      <c r="D787" s="228" t="s">
        <v>261</v>
      </c>
      <c r="E787" s="228">
        <v>1</v>
      </c>
      <c r="F787" s="216" t="s">
        <v>141</v>
      </c>
      <c r="G787" s="228"/>
      <c r="H787" s="223"/>
    </row>
    <row r="788" spans="1:8" ht="17.25" x14ac:dyDescent="0.35">
      <c r="A788" s="223" t="s">
        <v>1261</v>
      </c>
      <c r="B788" s="223"/>
      <c r="C788" s="228"/>
      <c r="D788" s="228" t="s">
        <v>261</v>
      </c>
      <c r="E788" s="228">
        <v>2</v>
      </c>
      <c r="F788" s="216">
        <v>4</v>
      </c>
      <c r="G788" s="228"/>
      <c r="H788" s="223"/>
    </row>
    <row r="789" spans="1:8" ht="138" x14ac:dyDescent="0.35">
      <c r="A789" s="223" t="s">
        <v>1262</v>
      </c>
      <c r="B789" s="223"/>
      <c r="C789" s="228"/>
      <c r="D789" s="228" t="s">
        <v>261</v>
      </c>
      <c r="E789" s="228">
        <v>4</v>
      </c>
      <c r="F789" s="228" t="s">
        <v>1263</v>
      </c>
      <c r="G789" s="228"/>
      <c r="H789" s="223" t="s">
        <v>1264</v>
      </c>
    </row>
  </sheetData>
  <mergeCells count="2">
    <mergeCell ref="A2:I2"/>
    <mergeCell ref="A762:H762"/>
  </mergeCells>
  <conditionalFormatting sqref="J327:XFD759 J241:XFD242 A790:XFD1048576 I782:XFD789 A760:XFD781 A324:XFD326 C323:XFD323 A243:XFD320 A1:XFD240">
    <cfRule type="containsText" dxfId="12" priority="13" operator="containsText" text="/ims/">
      <formula>NOT(ISERROR(SEARCH("/ims/",A1)))</formula>
    </cfRule>
  </conditionalFormatting>
  <conditionalFormatting sqref="A456:I456 A327:I454 A495:I508 A510:I579 A606:I725 A744:I759">
    <cfRule type="containsText" dxfId="11" priority="12" operator="containsText" text="/ims/">
      <formula>NOT(ISERROR(SEARCH("/ims/",A327)))</formula>
    </cfRule>
  </conditionalFormatting>
  <conditionalFormatting sqref="B726:B743">
    <cfRule type="duplicateValues" dxfId="10" priority="11"/>
  </conditionalFormatting>
  <conditionalFormatting sqref="B455">
    <cfRule type="duplicateValues" dxfId="9" priority="10"/>
  </conditionalFormatting>
  <conditionalFormatting sqref="B457:B494">
    <cfRule type="duplicateValues" dxfId="8" priority="9"/>
  </conditionalFormatting>
  <conditionalFormatting sqref="B241:B242">
    <cfRule type="duplicateValues" dxfId="7" priority="8"/>
  </conditionalFormatting>
  <conditionalFormatting sqref="B782:B789">
    <cfRule type="duplicateValues" dxfId="6" priority="7"/>
  </conditionalFormatting>
  <conditionalFormatting sqref="A323:B323">
    <cfRule type="containsText" dxfId="5" priority="6" operator="containsText" text="/ims/">
      <formula>NOT(ISERROR(SEARCH("/ims/",A323)))</formula>
    </cfRule>
  </conditionalFormatting>
  <conditionalFormatting sqref="A322:XFD322 C321:XFD321">
    <cfRule type="containsText" dxfId="4" priority="5" operator="containsText" text="/ims/">
      <formula>NOT(ISERROR(SEARCH("/ims/",A321)))</formula>
    </cfRule>
  </conditionalFormatting>
  <conditionalFormatting sqref="A321:B321">
    <cfRule type="containsText" dxfId="3" priority="4" operator="containsText" text="/ims/">
      <formula>NOT(ISERROR(SEARCH("/ims/",A321)))</formula>
    </cfRule>
  </conditionalFormatting>
  <conditionalFormatting sqref="G457">
    <cfRule type="containsText" dxfId="2" priority="3" operator="containsText" text="/ims/">
      <formula>NOT(ISERROR(SEARCH("/ims/",G457)))</formula>
    </cfRule>
  </conditionalFormatting>
  <conditionalFormatting sqref="G580">
    <cfRule type="containsText" dxfId="1" priority="2" operator="containsText" text="/ims/">
      <formula>NOT(ISERROR(SEARCH("/ims/",G580)))</formula>
    </cfRule>
  </conditionalFormatting>
  <conditionalFormatting sqref="G726">
    <cfRule type="containsText" dxfId="0" priority="1" operator="containsText" text="/ims/">
      <formula>NOT(ISERROR(SEARCH("/ims/",G726)))</formula>
    </cfRule>
  </conditionalFormatting>
  <hyperlinks>
    <hyperlink ref="F503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2:G157"/>
  <sheetViews>
    <sheetView topLeftCell="A118" zoomScale="80" zoomScaleNormal="80" workbookViewId="0">
      <selection activeCell="B141" sqref="B141"/>
    </sheetView>
  </sheetViews>
  <sheetFormatPr defaultColWidth="9.140625" defaultRowHeight="12.75" x14ac:dyDescent="0.2"/>
  <cols>
    <col min="1" max="1" width="2.85546875" style="25" customWidth="1"/>
    <col min="2" max="2" width="11.7109375" style="25" customWidth="1"/>
    <col min="3" max="3" width="12.85546875" style="22" bestFit="1" customWidth="1"/>
    <col min="4" max="4" width="56.28515625" style="22" bestFit="1" customWidth="1"/>
    <col min="5" max="5" width="20.5703125" style="22" customWidth="1"/>
    <col min="6" max="6" width="57.7109375" style="22" customWidth="1"/>
    <col min="7" max="7" width="53.28515625" style="22" customWidth="1"/>
    <col min="8" max="8" width="9.140625" style="25" customWidth="1"/>
    <col min="9" max="11" width="9.140625" style="25"/>
    <col min="12" max="12" width="10.85546875" style="25" bestFit="1" customWidth="1"/>
    <col min="13" max="16384" width="9.140625" style="25"/>
  </cols>
  <sheetData>
    <row r="2" spans="2:7" s="24" customFormat="1" ht="45" customHeight="1" x14ac:dyDescent="0.55000000000000004">
      <c r="B2" s="49" t="s">
        <v>247</v>
      </c>
      <c r="C2" s="49"/>
      <c r="D2" s="49"/>
      <c r="E2" s="49"/>
      <c r="F2" s="49"/>
      <c r="G2" s="49"/>
    </row>
    <row r="3" spans="2:7" ht="13.5" thickBot="1" x14ac:dyDescent="0.25"/>
    <row r="4" spans="2:7" ht="15.75" thickBot="1" x14ac:dyDescent="0.35">
      <c r="D4" s="85" t="s">
        <v>568</v>
      </c>
      <c r="E4" s="85"/>
    </row>
    <row r="5" spans="2:7" x14ac:dyDescent="0.2">
      <c r="D5" s="25" t="s">
        <v>569</v>
      </c>
      <c r="E5" s="22">
        <v>1</v>
      </c>
    </row>
    <row r="6" spans="2:7" x14ac:dyDescent="0.2">
      <c r="D6" s="25" t="s">
        <v>570</v>
      </c>
      <c r="E6" s="22">
        <v>263</v>
      </c>
    </row>
    <row r="7" spans="2:7" ht="13.5" thickBot="1" x14ac:dyDescent="0.25"/>
    <row r="8" spans="2:7" s="26" customFormat="1" ht="15.75" thickBot="1" x14ac:dyDescent="0.35">
      <c r="B8" s="27" t="s">
        <v>248</v>
      </c>
      <c r="C8" s="32" t="s">
        <v>244</v>
      </c>
      <c r="D8" s="32" t="s">
        <v>245</v>
      </c>
      <c r="E8" s="32" t="s">
        <v>246</v>
      </c>
      <c r="F8" s="36" t="s">
        <v>3</v>
      </c>
      <c r="G8" s="35" t="s">
        <v>388</v>
      </c>
    </row>
    <row r="9" spans="2:7" s="51" customFormat="1" ht="15" x14ac:dyDescent="0.3">
      <c r="B9" s="52"/>
      <c r="C9" s="53"/>
      <c r="D9" s="57"/>
      <c r="E9" s="41"/>
      <c r="F9" s="56"/>
      <c r="G9" s="54"/>
    </row>
    <row r="10" spans="2:7" s="51" customFormat="1" ht="15" x14ac:dyDescent="0.3">
      <c r="B10" s="52">
        <v>1</v>
      </c>
      <c r="C10" s="53">
        <v>41571</v>
      </c>
      <c r="D10" s="57" t="s">
        <v>398</v>
      </c>
      <c r="E10" s="41">
        <v>566149</v>
      </c>
      <c r="F10" s="56" t="s">
        <v>397</v>
      </c>
      <c r="G10" s="54" t="s">
        <v>396</v>
      </c>
    </row>
    <row r="11" spans="2:7" s="51" customFormat="1" ht="90" x14ac:dyDescent="0.3">
      <c r="B11" s="52">
        <v>4</v>
      </c>
      <c r="C11" s="53">
        <v>41577</v>
      </c>
      <c r="D11" s="57" t="s">
        <v>399</v>
      </c>
      <c r="E11" s="41">
        <v>568683</v>
      </c>
      <c r="F11" s="56" t="s">
        <v>400</v>
      </c>
      <c r="G11" s="54" t="s">
        <v>401</v>
      </c>
    </row>
    <row r="12" spans="2:7" s="51" customFormat="1" ht="75" x14ac:dyDescent="0.3">
      <c r="B12" s="52">
        <v>5</v>
      </c>
      <c r="C12" s="53">
        <v>41577</v>
      </c>
      <c r="D12" s="57" t="s">
        <v>402</v>
      </c>
      <c r="E12" s="41">
        <v>568646</v>
      </c>
      <c r="F12" s="56" t="s">
        <v>404</v>
      </c>
      <c r="G12" s="54" t="s">
        <v>403</v>
      </c>
    </row>
    <row r="13" spans="2:7" s="51" customFormat="1" ht="30" x14ac:dyDescent="0.3">
      <c r="B13" s="52">
        <v>6</v>
      </c>
      <c r="C13" s="53">
        <v>41577</v>
      </c>
      <c r="D13" s="57" t="s">
        <v>405</v>
      </c>
      <c r="E13" s="41">
        <v>527130</v>
      </c>
      <c r="F13" s="56" t="s">
        <v>406</v>
      </c>
      <c r="G13" s="54" t="s">
        <v>407</v>
      </c>
    </row>
    <row r="14" spans="2:7" s="51" customFormat="1" ht="195" x14ac:dyDescent="0.3">
      <c r="B14" s="52">
        <v>10</v>
      </c>
      <c r="C14" s="53">
        <v>41586</v>
      </c>
      <c r="D14" s="57" t="s">
        <v>412</v>
      </c>
      <c r="E14" s="41">
        <v>572776</v>
      </c>
      <c r="F14" s="56" t="s">
        <v>413</v>
      </c>
      <c r="G14" s="54" t="s">
        <v>414</v>
      </c>
    </row>
    <row r="15" spans="2:7" s="51" customFormat="1" ht="30" x14ac:dyDescent="0.3">
      <c r="B15" s="52">
        <v>12</v>
      </c>
      <c r="C15" s="53">
        <v>41591</v>
      </c>
      <c r="D15" s="57" t="s">
        <v>415</v>
      </c>
      <c r="E15" s="41">
        <v>573207</v>
      </c>
      <c r="F15" s="56" t="s">
        <v>416</v>
      </c>
      <c r="G15" s="54" t="s">
        <v>417</v>
      </c>
    </row>
    <row r="16" spans="2:7" s="51" customFormat="1" ht="75" x14ac:dyDescent="0.3">
      <c r="B16" s="52">
        <v>13</v>
      </c>
      <c r="C16" s="53">
        <v>41592</v>
      </c>
      <c r="D16" s="57" t="s">
        <v>418</v>
      </c>
      <c r="E16" s="41">
        <v>575756</v>
      </c>
      <c r="F16" s="56" t="s">
        <v>420</v>
      </c>
      <c r="G16" s="54" t="s">
        <v>419</v>
      </c>
    </row>
    <row r="17" spans="2:7" s="51" customFormat="1" ht="45" x14ac:dyDescent="0.3">
      <c r="B17" s="52">
        <v>15</v>
      </c>
      <c r="C17" s="53">
        <v>41593</v>
      </c>
      <c r="D17" s="57" t="s">
        <v>418</v>
      </c>
      <c r="E17" s="41">
        <v>575733</v>
      </c>
      <c r="F17" s="56" t="s">
        <v>421</v>
      </c>
      <c r="G17" s="54" t="s">
        <v>422</v>
      </c>
    </row>
    <row r="18" spans="2:7" s="51" customFormat="1" ht="30" x14ac:dyDescent="0.3">
      <c r="B18" s="52">
        <v>17</v>
      </c>
      <c r="C18" s="53">
        <v>41605</v>
      </c>
      <c r="D18" s="57" t="s">
        <v>415</v>
      </c>
      <c r="E18" s="41">
        <v>582187</v>
      </c>
      <c r="F18" s="56" t="s">
        <v>424</v>
      </c>
      <c r="G18" s="54" t="s">
        <v>425</v>
      </c>
    </row>
    <row r="19" spans="2:7" s="51" customFormat="1" ht="75" x14ac:dyDescent="0.3">
      <c r="B19" s="52">
        <v>18</v>
      </c>
      <c r="C19" s="53">
        <v>41612</v>
      </c>
      <c r="D19" s="57" t="s">
        <v>429</v>
      </c>
      <c r="E19" s="41">
        <v>584363</v>
      </c>
      <c r="F19" s="56" t="s">
        <v>427</v>
      </c>
      <c r="G19" s="54" t="s">
        <v>428</v>
      </c>
    </row>
    <row r="20" spans="2:7" s="51" customFormat="1" ht="30" x14ac:dyDescent="0.3">
      <c r="B20" s="52">
        <v>20</v>
      </c>
      <c r="C20" s="53">
        <v>41620</v>
      </c>
      <c r="D20" s="57" t="s">
        <v>418</v>
      </c>
      <c r="E20" s="64">
        <v>588451</v>
      </c>
      <c r="F20" s="56" t="s">
        <v>430</v>
      </c>
      <c r="G20" s="54" t="s">
        <v>431</v>
      </c>
    </row>
    <row r="21" spans="2:7" s="51" customFormat="1" ht="60" x14ac:dyDescent="0.3">
      <c r="B21" s="52">
        <v>23</v>
      </c>
      <c r="C21" s="53">
        <v>41631</v>
      </c>
      <c r="D21" s="57" t="s">
        <v>433</v>
      </c>
      <c r="E21" s="41">
        <v>593228</v>
      </c>
      <c r="F21" s="56" t="s">
        <v>640</v>
      </c>
      <c r="G21" s="54" t="s">
        <v>434</v>
      </c>
    </row>
    <row r="22" spans="2:7" s="51" customFormat="1" ht="105" x14ac:dyDescent="0.3">
      <c r="B22" s="52">
        <v>24</v>
      </c>
      <c r="C22" s="53">
        <v>41281</v>
      </c>
      <c r="D22" s="57" t="s">
        <v>433</v>
      </c>
      <c r="E22" s="41">
        <v>593228</v>
      </c>
      <c r="F22" s="56" t="s">
        <v>641</v>
      </c>
      <c r="G22" s="54" t="s">
        <v>435</v>
      </c>
    </row>
    <row r="23" spans="2:7" s="51" customFormat="1" ht="30" x14ac:dyDescent="0.3">
      <c r="B23" s="52">
        <v>26</v>
      </c>
      <c r="C23" s="53">
        <v>41660</v>
      </c>
      <c r="D23" s="57" t="s">
        <v>436</v>
      </c>
      <c r="E23" s="64">
        <v>605080</v>
      </c>
      <c r="F23" s="56" t="s">
        <v>438</v>
      </c>
      <c r="G23" s="54" t="s">
        <v>437</v>
      </c>
    </row>
    <row r="24" spans="2:7" s="51" customFormat="1" ht="45" x14ac:dyDescent="0.3">
      <c r="B24" s="52">
        <v>27</v>
      </c>
      <c r="C24" s="53">
        <v>41666</v>
      </c>
      <c r="D24" s="57" t="s">
        <v>436</v>
      </c>
      <c r="E24" s="64">
        <v>600954</v>
      </c>
      <c r="F24" s="56" t="s">
        <v>440</v>
      </c>
      <c r="G24" s="54" t="s">
        <v>439</v>
      </c>
    </row>
    <row r="25" spans="2:7" s="51" customFormat="1" ht="30" x14ac:dyDescent="0.3">
      <c r="B25" s="52">
        <v>28</v>
      </c>
      <c r="C25" s="53">
        <v>41667</v>
      </c>
      <c r="D25" s="57" t="s">
        <v>436</v>
      </c>
      <c r="E25" s="64">
        <v>607795</v>
      </c>
      <c r="F25" s="56" t="s">
        <v>442</v>
      </c>
      <c r="G25" s="54" t="s">
        <v>441</v>
      </c>
    </row>
    <row r="26" spans="2:7" s="51" customFormat="1" ht="75" x14ac:dyDescent="0.3">
      <c r="B26" s="52">
        <v>29</v>
      </c>
      <c r="C26" s="53">
        <v>41668</v>
      </c>
      <c r="D26" s="57" t="s">
        <v>443</v>
      </c>
      <c r="E26" s="64">
        <v>604548</v>
      </c>
      <c r="F26" s="56" t="s">
        <v>444</v>
      </c>
      <c r="G26" s="54" t="s">
        <v>445</v>
      </c>
    </row>
    <row r="27" spans="2:7" s="51" customFormat="1" ht="183" customHeight="1" x14ac:dyDescent="0.3">
      <c r="B27" s="52">
        <v>30</v>
      </c>
      <c r="C27" s="53">
        <v>41669</v>
      </c>
      <c r="D27" s="57" t="s">
        <v>455</v>
      </c>
      <c r="E27" s="64">
        <v>595984</v>
      </c>
      <c r="F27" s="56" t="s">
        <v>456</v>
      </c>
      <c r="G27" s="54" t="s">
        <v>452</v>
      </c>
    </row>
    <row r="28" spans="2:7" s="51" customFormat="1" ht="18" customHeight="1" x14ac:dyDescent="0.3">
      <c r="B28" s="52">
        <v>31</v>
      </c>
      <c r="C28" s="53">
        <v>41668</v>
      </c>
      <c r="D28" s="57" t="s">
        <v>457</v>
      </c>
      <c r="E28" s="64">
        <v>606544</v>
      </c>
      <c r="F28" s="56"/>
      <c r="G28" s="54" t="s">
        <v>458</v>
      </c>
    </row>
    <row r="29" spans="2:7" s="51" customFormat="1" ht="90" x14ac:dyDescent="0.3">
      <c r="B29" s="52">
        <v>32</v>
      </c>
      <c r="C29" s="53">
        <v>41676</v>
      </c>
      <c r="D29" s="57" t="s">
        <v>460</v>
      </c>
      <c r="E29" s="64">
        <v>612629</v>
      </c>
      <c r="F29" s="56" t="s">
        <v>462</v>
      </c>
      <c r="G29" s="54" t="s">
        <v>461</v>
      </c>
    </row>
    <row r="30" spans="2:7" s="51" customFormat="1" ht="65.25" customHeight="1" x14ac:dyDescent="0.3">
      <c r="B30" s="52">
        <v>33</v>
      </c>
      <c r="C30" s="53">
        <v>41677</v>
      </c>
      <c r="D30" s="57" t="s">
        <v>463</v>
      </c>
      <c r="E30" s="64">
        <v>612082</v>
      </c>
      <c r="F30" s="56" t="s">
        <v>464</v>
      </c>
      <c r="G30" s="54" t="s">
        <v>465</v>
      </c>
    </row>
    <row r="31" spans="2:7" s="51" customFormat="1" ht="65.25" customHeight="1" x14ac:dyDescent="0.3">
      <c r="B31" s="52">
        <v>34</v>
      </c>
      <c r="C31" s="53">
        <v>41683</v>
      </c>
      <c r="D31" s="57" t="s">
        <v>436</v>
      </c>
      <c r="E31" s="64">
        <v>615255</v>
      </c>
      <c r="F31" s="56" t="s">
        <v>467</v>
      </c>
      <c r="G31" s="54" t="s">
        <v>466</v>
      </c>
    </row>
    <row r="32" spans="2:7" s="51" customFormat="1" ht="195" x14ac:dyDescent="0.3">
      <c r="B32" s="52">
        <v>35</v>
      </c>
      <c r="C32" s="53">
        <v>41684</v>
      </c>
      <c r="D32" s="57" t="s">
        <v>468</v>
      </c>
      <c r="E32" s="64">
        <v>615268</v>
      </c>
      <c r="F32" s="56" t="s">
        <v>470</v>
      </c>
      <c r="G32" s="54" t="s">
        <v>469</v>
      </c>
    </row>
    <row r="33" spans="2:7" s="51" customFormat="1" ht="60" x14ac:dyDescent="0.3">
      <c r="B33" s="52">
        <v>36</v>
      </c>
      <c r="C33" s="53">
        <v>41689</v>
      </c>
      <c r="D33" s="57" t="s">
        <v>415</v>
      </c>
      <c r="E33" s="64">
        <v>619733</v>
      </c>
      <c r="F33" s="56" t="s">
        <v>473</v>
      </c>
      <c r="G33" s="54" t="s">
        <v>471</v>
      </c>
    </row>
    <row r="34" spans="2:7" s="51" customFormat="1" ht="150" x14ac:dyDescent="0.3">
      <c r="B34" s="52">
        <v>38</v>
      </c>
      <c r="C34" s="53">
        <v>41690</v>
      </c>
      <c r="D34" s="57" t="s">
        <v>474</v>
      </c>
      <c r="E34" s="64">
        <v>619478</v>
      </c>
      <c r="F34" s="56" t="s">
        <v>476</v>
      </c>
      <c r="G34" s="54" t="s">
        <v>475</v>
      </c>
    </row>
    <row r="35" spans="2:7" s="51" customFormat="1" ht="75" x14ac:dyDescent="0.3">
      <c r="B35" s="52">
        <v>39</v>
      </c>
      <c r="C35" s="53">
        <v>41695</v>
      </c>
      <c r="D35" s="57" t="s">
        <v>415</v>
      </c>
      <c r="E35" s="64">
        <v>622214</v>
      </c>
      <c r="F35" s="56" t="s">
        <v>522</v>
      </c>
      <c r="G35" s="54" t="s">
        <v>477</v>
      </c>
    </row>
    <row r="36" spans="2:7" s="51" customFormat="1" ht="30" x14ac:dyDescent="0.3">
      <c r="B36" s="52">
        <v>41</v>
      </c>
      <c r="C36" s="53">
        <v>41697</v>
      </c>
      <c r="D36" s="57" t="s">
        <v>418</v>
      </c>
      <c r="E36" s="57">
        <v>622664</v>
      </c>
      <c r="F36" s="56" t="s">
        <v>523</v>
      </c>
      <c r="G36" s="54" t="s">
        <v>524</v>
      </c>
    </row>
    <row r="37" spans="2:7" s="51" customFormat="1" ht="90" x14ac:dyDescent="0.3">
      <c r="B37" s="52">
        <v>42</v>
      </c>
      <c r="C37" s="53">
        <v>41698</v>
      </c>
      <c r="D37" s="57" t="s">
        <v>525</v>
      </c>
      <c r="E37" s="57">
        <v>623601</v>
      </c>
      <c r="F37" s="56" t="s">
        <v>526</v>
      </c>
      <c r="G37" s="54" t="s">
        <v>527</v>
      </c>
    </row>
    <row r="38" spans="2:7" s="51" customFormat="1" ht="120" x14ac:dyDescent="0.3">
      <c r="B38" s="52">
        <v>43</v>
      </c>
      <c r="C38" s="53">
        <v>41705</v>
      </c>
      <c r="D38" s="57" t="s">
        <v>528</v>
      </c>
      <c r="E38" s="57">
        <v>626253</v>
      </c>
      <c r="F38" s="56" t="s">
        <v>530</v>
      </c>
      <c r="G38" s="54" t="s">
        <v>529</v>
      </c>
    </row>
    <row r="39" spans="2:7" s="51" customFormat="1" ht="105" x14ac:dyDescent="0.3">
      <c r="B39" s="52">
        <v>44</v>
      </c>
      <c r="C39" s="53">
        <v>41709</v>
      </c>
      <c r="D39" s="57" t="s">
        <v>402</v>
      </c>
      <c r="E39" s="57" t="s">
        <v>531</v>
      </c>
      <c r="F39" s="56" t="s">
        <v>533</v>
      </c>
      <c r="G39" s="54" t="s">
        <v>532</v>
      </c>
    </row>
    <row r="40" spans="2:7" s="51" customFormat="1" ht="165" x14ac:dyDescent="0.3">
      <c r="B40" s="52">
        <v>45</v>
      </c>
      <c r="C40" s="53">
        <v>41710</v>
      </c>
      <c r="D40" s="57" t="s">
        <v>534</v>
      </c>
      <c r="E40" s="57">
        <v>598055</v>
      </c>
      <c r="F40" s="56" t="s">
        <v>536</v>
      </c>
      <c r="G40" s="54" t="s">
        <v>535</v>
      </c>
    </row>
    <row r="41" spans="2:7" s="51" customFormat="1" ht="30" x14ac:dyDescent="0.3">
      <c r="B41" s="52">
        <v>46</v>
      </c>
      <c r="C41" s="53">
        <v>41716</v>
      </c>
      <c r="D41" s="57" t="s">
        <v>415</v>
      </c>
      <c r="E41" s="57">
        <v>634822</v>
      </c>
      <c r="F41" s="56" t="s">
        <v>537</v>
      </c>
      <c r="G41" s="54" t="s">
        <v>538</v>
      </c>
    </row>
    <row r="42" spans="2:7" s="51" customFormat="1" ht="30" x14ac:dyDescent="0.3">
      <c r="B42" s="52">
        <v>47</v>
      </c>
      <c r="C42" s="53">
        <v>41717</v>
      </c>
      <c r="D42" s="57" t="s">
        <v>415</v>
      </c>
      <c r="E42" s="57">
        <v>634830</v>
      </c>
      <c r="F42" s="56" t="s">
        <v>542</v>
      </c>
      <c r="G42" s="54" t="s">
        <v>541</v>
      </c>
    </row>
    <row r="43" spans="2:7" s="51" customFormat="1" ht="195" x14ac:dyDescent="0.3">
      <c r="B43" s="52">
        <v>48</v>
      </c>
      <c r="C43" s="53">
        <v>41722</v>
      </c>
      <c r="D43" s="57" t="s">
        <v>534</v>
      </c>
      <c r="E43" s="57">
        <v>637527</v>
      </c>
      <c r="F43" s="56" t="s">
        <v>544</v>
      </c>
      <c r="G43" s="54" t="s">
        <v>543</v>
      </c>
    </row>
    <row r="44" spans="2:7" s="51" customFormat="1" ht="30" x14ac:dyDescent="0.3">
      <c r="B44" s="52">
        <v>49</v>
      </c>
      <c r="C44" s="53">
        <v>41723</v>
      </c>
      <c r="D44" s="57" t="s">
        <v>418</v>
      </c>
      <c r="E44" s="57">
        <v>627760</v>
      </c>
      <c r="F44" s="56" t="s">
        <v>545</v>
      </c>
      <c r="G44" s="54" t="s">
        <v>546</v>
      </c>
    </row>
    <row r="45" spans="2:7" s="51" customFormat="1" ht="30" x14ac:dyDescent="0.3">
      <c r="B45" s="52">
        <v>51</v>
      </c>
      <c r="C45" s="53">
        <v>41729</v>
      </c>
      <c r="D45" s="57" t="s">
        <v>415</v>
      </c>
      <c r="E45" s="57">
        <v>640206</v>
      </c>
      <c r="F45" s="56" t="s">
        <v>547</v>
      </c>
      <c r="G45" s="54" t="s">
        <v>548</v>
      </c>
    </row>
    <row r="46" spans="2:7" s="51" customFormat="1" ht="15" x14ac:dyDescent="0.3">
      <c r="B46" s="52">
        <v>52</v>
      </c>
      <c r="C46" s="53">
        <v>41730</v>
      </c>
      <c r="D46" s="57" t="s">
        <v>551</v>
      </c>
      <c r="E46" s="57">
        <v>636005</v>
      </c>
      <c r="F46" s="56" t="s">
        <v>552</v>
      </c>
      <c r="G46" s="54" t="s">
        <v>550</v>
      </c>
    </row>
    <row r="47" spans="2:7" s="51" customFormat="1" ht="105" x14ac:dyDescent="0.3">
      <c r="B47" s="52">
        <v>53</v>
      </c>
      <c r="C47" s="53">
        <v>41730</v>
      </c>
      <c r="D47" s="57" t="s">
        <v>418</v>
      </c>
      <c r="E47" s="57">
        <v>640507</v>
      </c>
      <c r="F47" s="56" t="s">
        <v>553</v>
      </c>
      <c r="G47" s="54" t="s">
        <v>554</v>
      </c>
    </row>
    <row r="48" spans="2:7" s="51" customFormat="1" ht="15" x14ac:dyDescent="0.3">
      <c r="B48" s="52">
        <v>54</v>
      </c>
      <c r="C48" s="53">
        <v>41731</v>
      </c>
      <c r="D48" s="57" t="s">
        <v>415</v>
      </c>
      <c r="E48" s="57">
        <v>641997</v>
      </c>
      <c r="F48" s="56" t="s">
        <v>555</v>
      </c>
      <c r="G48" s="54" t="s">
        <v>556</v>
      </c>
    </row>
    <row r="49" spans="2:7" s="51" customFormat="1" ht="165" x14ac:dyDescent="0.3">
      <c r="B49" s="52">
        <v>57</v>
      </c>
      <c r="C49" s="53">
        <v>41750</v>
      </c>
      <c r="D49" s="57" t="s">
        <v>558</v>
      </c>
      <c r="E49" s="57">
        <v>636791</v>
      </c>
      <c r="F49" s="56" t="s">
        <v>559</v>
      </c>
      <c r="G49" s="54" t="s">
        <v>557</v>
      </c>
    </row>
    <row r="50" spans="2:7" s="51" customFormat="1" ht="93.75" customHeight="1" x14ac:dyDescent="0.3">
      <c r="B50" s="52">
        <v>58</v>
      </c>
      <c r="C50" s="53">
        <v>41753</v>
      </c>
      <c r="D50" s="57" t="s">
        <v>560</v>
      </c>
      <c r="E50" s="57">
        <v>651193</v>
      </c>
      <c r="F50" s="56" t="s">
        <v>561</v>
      </c>
      <c r="G50" s="54" t="s">
        <v>563</v>
      </c>
    </row>
    <row r="51" spans="2:7" s="51" customFormat="1" ht="60" x14ac:dyDescent="0.3">
      <c r="B51" s="52">
        <v>59</v>
      </c>
      <c r="C51" s="53">
        <v>41754</v>
      </c>
      <c r="D51" s="57" t="s">
        <v>402</v>
      </c>
      <c r="E51" s="57">
        <v>643085</v>
      </c>
      <c r="F51" s="56" t="s">
        <v>639</v>
      </c>
      <c r="G51" s="54" t="s">
        <v>564</v>
      </c>
    </row>
    <row r="52" spans="2:7" s="51" customFormat="1" ht="120" x14ac:dyDescent="0.3">
      <c r="B52" s="52">
        <v>60</v>
      </c>
      <c r="C52" s="53">
        <v>41757</v>
      </c>
      <c r="D52" s="57" t="s">
        <v>565</v>
      </c>
      <c r="E52" s="57">
        <v>652703</v>
      </c>
      <c r="F52" s="56" t="s">
        <v>566</v>
      </c>
      <c r="G52" s="54" t="s">
        <v>567</v>
      </c>
    </row>
    <row r="53" spans="2:7" s="51" customFormat="1" ht="30" x14ac:dyDescent="0.3">
      <c r="B53" s="52">
        <v>63</v>
      </c>
      <c r="C53" s="53">
        <v>41759</v>
      </c>
      <c r="D53" s="57" t="s">
        <v>571</v>
      </c>
      <c r="E53" s="57">
        <v>624590</v>
      </c>
      <c r="F53" s="56" t="s">
        <v>573</v>
      </c>
      <c r="G53" s="54" t="s">
        <v>572</v>
      </c>
    </row>
    <row r="54" spans="2:7" s="51" customFormat="1" ht="15" x14ac:dyDescent="0.3">
      <c r="B54" s="52">
        <v>64</v>
      </c>
      <c r="C54" s="53">
        <v>41764</v>
      </c>
      <c r="D54" s="57" t="s">
        <v>574</v>
      </c>
      <c r="E54" s="57">
        <v>654168</v>
      </c>
      <c r="F54" s="56" t="s">
        <v>575</v>
      </c>
      <c r="G54" s="54"/>
    </row>
    <row r="55" spans="2:7" s="51" customFormat="1" ht="195" x14ac:dyDescent="0.3">
      <c r="B55" s="52">
        <v>65</v>
      </c>
      <c r="C55" s="53">
        <v>41765</v>
      </c>
      <c r="D55" s="57" t="s">
        <v>580</v>
      </c>
      <c r="E55" s="57">
        <v>653991</v>
      </c>
      <c r="F55" s="56" t="s">
        <v>579</v>
      </c>
      <c r="G55" s="54" t="s">
        <v>578</v>
      </c>
    </row>
    <row r="56" spans="2:7" s="51" customFormat="1" ht="27" x14ac:dyDescent="0.3">
      <c r="B56" s="52">
        <v>66</v>
      </c>
      <c r="C56" s="53">
        <v>41767</v>
      </c>
      <c r="D56" s="57" t="s">
        <v>581</v>
      </c>
      <c r="E56" s="57">
        <v>661656</v>
      </c>
      <c r="F56" s="56" t="s">
        <v>582</v>
      </c>
      <c r="G56" s="54" t="s">
        <v>583</v>
      </c>
    </row>
    <row r="57" spans="2:7" s="51" customFormat="1" ht="15" x14ac:dyDescent="0.3">
      <c r="B57" s="52">
        <v>67</v>
      </c>
      <c r="C57" s="53">
        <v>41768</v>
      </c>
      <c r="D57" s="57" t="s">
        <v>584</v>
      </c>
      <c r="E57" s="57">
        <v>661822</v>
      </c>
      <c r="F57" s="56" t="s">
        <v>585</v>
      </c>
      <c r="G57" s="54" t="s">
        <v>586</v>
      </c>
    </row>
    <row r="58" spans="2:7" s="51" customFormat="1" ht="30" x14ac:dyDescent="0.3">
      <c r="B58" s="52">
        <v>68</v>
      </c>
      <c r="C58" s="53">
        <v>41774</v>
      </c>
      <c r="D58" s="57" t="s">
        <v>580</v>
      </c>
      <c r="E58" s="57">
        <v>665181</v>
      </c>
      <c r="F58" s="56" t="s">
        <v>588</v>
      </c>
      <c r="G58" s="54" t="s">
        <v>587</v>
      </c>
    </row>
    <row r="59" spans="2:7" s="51" customFormat="1" ht="30" x14ac:dyDescent="0.3">
      <c r="B59" s="52">
        <v>69</v>
      </c>
      <c r="C59" s="53">
        <v>41782</v>
      </c>
      <c r="D59" s="57" t="s">
        <v>589</v>
      </c>
      <c r="E59" s="57">
        <v>668790</v>
      </c>
      <c r="F59" s="56" t="s">
        <v>590</v>
      </c>
      <c r="G59" s="54" t="s">
        <v>591</v>
      </c>
    </row>
    <row r="60" spans="2:7" s="51" customFormat="1" ht="90" x14ac:dyDescent="0.3">
      <c r="B60" s="52">
        <v>70</v>
      </c>
      <c r="C60" s="53">
        <v>41796</v>
      </c>
      <c r="D60" s="57" t="s">
        <v>592</v>
      </c>
      <c r="E60" s="57">
        <v>659628</v>
      </c>
      <c r="F60" s="56" t="s">
        <v>650</v>
      </c>
      <c r="G60" s="54" t="s">
        <v>593</v>
      </c>
    </row>
    <row r="61" spans="2:7" s="28" customFormat="1" ht="15" x14ac:dyDescent="0.3">
      <c r="B61" s="52">
        <v>71</v>
      </c>
      <c r="C61" s="53">
        <v>41796</v>
      </c>
      <c r="D61" s="41" t="s">
        <v>596</v>
      </c>
      <c r="E61" s="41">
        <v>658811</v>
      </c>
      <c r="F61" s="42" t="s">
        <v>594</v>
      </c>
      <c r="G61" s="40" t="s">
        <v>595</v>
      </c>
    </row>
    <row r="62" spans="2:7" s="28" customFormat="1" ht="45" x14ac:dyDescent="0.3">
      <c r="B62" s="52">
        <v>72</v>
      </c>
      <c r="C62" s="53">
        <v>41802</v>
      </c>
      <c r="D62" s="41" t="s">
        <v>598</v>
      </c>
      <c r="E62" s="41">
        <v>663855</v>
      </c>
      <c r="F62" s="42" t="s">
        <v>599</v>
      </c>
      <c r="G62" s="40" t="s">
        <v>600</v>
      </c>
    </row>
    <row r="63" spans="2:7" s="51" customFormat="1" ht="150" x14ac:dyDescent="0.3">
      <c r="B63" s="52">
        <v>73</v>
      </c>
      <c r="C63" s="53">
        <v>41802</v>
      </c>
      <c r="D63" s="57" t="s">
        <v>580</v>
      </c>
      <c r="E63" s="57" t="s">
        <v>601</v>
      </c>
      <c r="F63" s="56" t="s">
        <v>602</v>
      </c>
      <c r="G63" s="54" t="s">
        <v>597</v>
      </c>
    </row>
    <row r="64" spans="2:7" s="51" customFormat="1" ht="60" x14ac:dyDescent="0.3">
      <c r="B64" s="52">
        <v>74</v>
      </c>
      <c r="C64" s="53">
        <v>41805</v>
      </c>
      <c r="D64" s="57" t="s">
        <v>610</v>
      </c>
      <c r="E64" s="57">
        <v>663669</v>
      </c>
      <c r="F64" s="56" t="s">
        <v>612</v>
      </c>
      <c r="G64" s="54" t="s">
        <v>611</v>
      </c>
    </row>
    <row r="65" spans="2:7" s="51" customFormat="1" ht="15" x14ac:dyDescent="0.3">
      <c r="B65" s="52">
        <v>1</v>
      </c>
      <c r="C65" s="53">
        <v>41810</v>
      </c>
      <c r="D65" s="57" t="s">
        <v>614</v>
      </c>
      <c r="E65" s="57">
        <v>672662</v>
      </c>
      <c r="F65" s="56" t="s">
        <v>613</v>
      </c>
      <c r="G65" s="54"/>
    </row>
    <row r="66" spans="2:7" s="51" customFormat="1" ht="30" x14ac:dyDescent="0.3">
      <c r="B66" s="52">
        <v>2</v>
      </c>
      <c r="C66" s="53">
        <v>41813</v>
      </c>
      <c r="D66" s="57" t="s">
        <v>615</v>
      </c>
      <c r="E66" s="57">
        <v>682529</v>
      </c>
      <c r="F66" s="56" t="s">
        <v>617</v>
      </c>
      <c r="G66" s="54" t="s">
        <v>616</v>
      </c>
    </row>
    <row r="67" spans="2:7" s="51" customFormat="1" ht="15" x14ac:dyDescent="0.3">
      <c r="B67" s="52">
        <v>3</v>
      </c>
      <c r="C67" s="53">
        <v>41815</v>
      </c>
      <c r="D67" s="57" t="s">
        <v>610</v>
      </c>
      <c r="E67" s="57">
        <v>681659</v>
      </c>
      <c r="F67" s="56" t="s">
        <v>618</v>
      </c>
      <c r="G67" s="54" t="s">
        <v>619</v>
      </c>
    </row>
    <row r="68" spans="2:7" s="51" customFormat="1" ht="285" x14ac:dyDescent="0.3">
      <c r="B68" s="52">
        <v>4</v>
      </c>
      <c r="C68" s="53">
        <v>41821</v>
      </c>
      <c r="D68" s="57" t="s">
        <v>620</v>
      </c>
      <c r="E68" s="57">
        <v>681140</v>
      </c>
      <c r="F68" s="56" t="s">
        <v>622</v>
      </c>
      <c r="G68" s="54" t="s">
        <v>621</v>
      </c>
    </row>
    <row r="69" spans="2:7" s="51" customFormat="1" ht="52.5" x14ac:dyDescent="0.3">
      <c r="B69" s="52">
        <v>5</v>
      </c>
      <c r="C69" s="53">
        <v>41827</v>
      </c>
      <c r="D69" s="57" t="s">
        <v>620</v>
      </c>
      <c r="E69" s="57">
        <v>665030</v>
      </c>
      <c r="F69" s="56" t="s">
        <v>624</v>
      </c>
      <c r="G69" s="54" t="s">
        <v>623</v>
      </c>
    </row>
    <row r="70" spans="2:7" s="51" customFormat="1" ht="30" x14ac:dyDescent="0.3">
      <c r="B70" s="52">
        <v>6</v>
      </c>
      <c r="C70" s="53">
        <v>41828</v>
      </c>
      <c r="D70" s="57" t="s">
        <v>415</v>
      </c>
      <c r="E70" s="57">
        <v>688828</v>
      </c>
      <c r="F70" s="56" t="s">
        <v>628</v>
      </c>
      <c r="G70" s="54" t="s">
        <v>627</v>
      </c>
    </row>
    <row r="71" spans="2:7" s="51" customFormat="1" ht="39.75" x14ac:dyDescent="0.3">
      <c r="B71" s="52">
        <v>7</v>
      </c>
      <c r="C71" s="53">
        <v>41828</v>
      </c>
      <c r="D71" s="57" t="s">
        <v>620</v>
      </c>
      <c r="E71" s="57">
        <v>690091</v>
      </c>
      <c r="F71" s="56" t="s">
        <v>630</v>
      </c>
      <c r="G71" s="54" t="s">
        <v>629</v>
      </c>
    </row>
    <row r="72" spans="2:7" s="51" customFormat="1" ht="39.75" x14ac:dyDescent="0.3">
      <c r="B72" s="52">
        <v>8</v>
      </c>
      <c r="C72" s="53">
        <v>41829</v>
      </c>
      <c r="D72" s="57" t="s">
        <v>620</v>
      </c>
      <c r="E72" s="57">
        <v>690602</v>
      </c>
      <c r="F72" s="56" t="s">
        <v>631</v>
      </c>
      <c r="G72" s="54" t="s">
        <v>632</v>
      </c>
    </row>
    <row r="73" spans="2:7" s="51" customFormat="1" ht="180" x14ac:dyDescent="0.3">
      <c r="B73" s="52">
        <v>9</v>
      </c>
      <c r="C73" s="53">
        <v>41838</v>
      </c>
      <c r="D73" s="57" t="s">
        <v>633</v>
      </c>
      <c r="E73" s="57">
        <v>691941</v>
      </c>
      <c r="F73" s="56" t="s">
        <v>635</v>
      </c>
      <c r="G73" s="54" t="s">
        <v>634</v>
      </c>
    </row>
    <row r="74" spans="2:7" s="51" customFormat="1" ht="93.75" customHeight="1" x14ac:dyDescent="0.3">
      <c r="B74" s="52">
        <v>10</v>
      </c>
      <c r="C74" s="53">
        <v>41843</v>
      </c>
      <c r="D74" s="57" t="s">
        <v>636</v>
      </c>
      <c r="E74" s="57">
        <v>696680</v>
      </c>
      <c r="F74" s="56" t="s">
        <v>637</v>
      </c>
      <c r="G74" s="54" t="s">
        <v>638</v>
      </c>
    </row>
    <row r="75" spans="2:7" s="51" customFormat="1" ht="75" x14ac:dyDescent="0.3">
      <c r="B75" s="52">
        <v>11</v>
      </c>
      <c r="C75" s="53">
        <v>41848</v>
      </c>
      <c r="D75" s="57" t="s">
        <v>644</v>
      </c>
      <c r="E75" s="57">
        <v>697683</v>
      </c>
      <c r="F75" s="56" t="s">
        <v>645</v>
      </c>
      <c r="G75" s="54" t="s">
        <v>646</v>
      </c>
    </row>
    <row r="76" spans="2:7" s="51" customFormat="1" ht="39.75" x14ac:dyDescent="0.3">
      <c r="B76" s="52">
        <v>12</v>
      </c>
      <c r="C76" s="53">
        <v>41848</v>
      </c>
      <c r="D76" s="57" t="s">
        <v>647</v>
      </c>
      <c r="E76" s="57">
        <v>686944</v>
      </c>
      <c r="F76" s="56" t="s">
        <v>648</v>
      </c>
      <c r="G76" s="54" t="s">
        <v>649</v>
      </c>
    </row>
    <row r="77" spans="2:7" s="51" customFormat="1" ht="93.75" customHeight="1" x14ac:dyDescent="0.3">
      <c r="B77" s="52">
        <v>13</v>
      </c>
      <c r="C77" s="53">
        <v>41855</v>
      </c>
      <c r="D77" s="57" t="s">
        <v>651</v>
      </c>
      <c r="E77" s="41">
        <v>704321</v>
      </c>
      <c r="F77" s="56" t="s">
        <v>652</v>
      </c>
      <c r="G77" s="54" t="s">
        <v>653</v>
      </c>
    </row>
    <row r="78" spans="2:7" s="51" customFormat="1" ht="93.75" customHeight="1" x14ac:dyDescent="0.3">
      <c r="B78" s="52">
        <v>14</v>
      </c>
      <c r="C78" s="53">
        <v>41856</v>
      </c>
      <c r="D78" s="57" t="s">
        <v>654</v>
      </c>
      <c r="E78" s="41">
        <v>704927</v>
      </c>
      <c r="F78" s="56" t="s">
        <v>655</v>
      </c>
      <c r="G78" s="54" t="s">
        <v>656</v>
      </c>
    </row>
    <row r="79" spans="2:7" s="51" customFormat="1" ht="93.75" customHeight="1" x14ac:dyDescent="0.3">
      <c r="B79" s="52">
        <v>15</v>
      </c>
      <c r="C79" s="53">
        <v>41864</v>
      </c>
      <c r="D79" s="57" t="s">
        <v>647</v>
      </c>
      <c r="E79" s="41">
        <v>680226</v>
      </c>
      <c r="F79" s="56" t="s">
        <v>661</v>
      </c>
      <c r="G79" s="54" t="s">
        <v>662</v>
      </c>
    </row>
    <row r="80" spans="2:7" s="51" customFormat="1" ht="93.75" customHeight="1" x14ac:dyDescent="0.3">
      <c r="B80" s="52">
        <v>16</v>
      </c>
      <c r="C80" s="53">
        <v>41864</v>
      </c>
      <c r="D80" s="57" t="s">
        <v>657</v>
      </c>
      <c r="E80" s="41" t="s">
        <v>658</v>
      </c>
      <c r="F80" s="56" t="s">
        <v>660</v>
      </c>
      <c r="G80" s="54" t="s">
        <v>659</v>
      </c>
    </row>
    <row r="81" spans="2:7" s="51" customFormat="1" ht="93.75" customHeight="1" x14ac:dyDescent="0.3">
      <c r="B81" s="52">
        <v>17</v>
      </c>
      <c r="C81" s="53">
        <v>41866</v>
      </c>
      <c r="D81" s="57" t="s">
        <v>418</v>
      </c>
      <c r="E81" s="41">
        <v>709135</v>
      </c>
      <c r="F81" s="56" t="s">
        <v>663</v>
      </c>
      <c r="G81" s="54" t="s">
        <v>664</v>
      </c>
    </row>
    <row r="82" spans="2:7" s="51" customFormat="1" ht="93.75" customHeight="1" x14ac:dyDescent="0.3">
      <c r="B82" s="52">
        <v>18</v>
      </c>
      <c r="C82" s="53">
        <v>41870</v>
      </c>
      <c r="D82" s="57" t="s">
        <v>654</v>
      </c>
      <c r="E82" s="41">
        <v>676695</v>
      </c>
      <c r="F82" s="56" t="s">
        <v>665</v>
      </c>
      <c r="G82" s="54" t="s">
        <v>666</v>
      </c>
    </row>
    <row r="83" spans="2:7" s="51" customFormat="1" ht="180" x14ac:dyDescent="0.3">
      <c r="B83" s="52">
        <v>19</v>
      </c>
      <c r="C83" s="53">
        <v>41871</v>
      </c>
      <c r="D83" s="57" t="s">
        <v>667</v>
      </c>
      <c r="E83" s="41">
        <v>711635</v>
      </c>
      <c r="F83" s="56" t="s">
        <v>668</v>
      </c>
      <c r="G83" s="54" t="s">
        <v>669</v>
      </c>
    </row>
    <row r="84" spans="2:7" s="51" customFormat="1" ht="52.5" x14ac:dyDescent="0.3">
      <c r="B84" s="52">
        <v>20</v>
      </c>
      <c r="C84" s="53">
        <v>41873</v>
      </c>
      <c r="D84" s="57" t="s">
        <v>670</v>
      </c>
      <c r="E84" s="41">
        <v>702898</v>
      </c>
      <c r="F84" s="56" t="s">
        <v>671</v>
      </c>
      <c r="G84" s="54" t="s">
        <v>672</v>
      </c>
    </row>
    <row r="85" spans="2:7" s="51" customFormat="1" ht="255" x14ac:dyDescent="0.3">
      <c r="B85" s="52">
        <v>21</v>
      </c>
      <c r="C85" s="53">
        <v>41879</v>
      </c>
      <c r="D85" s="57" t="s">
        <v>674</v>
      </c>
      <c r="E85" s="41">
        <v>703460</v>
      </c>
      <c r="F85" s="56" t="s">
        <v>675</v>
      </c>
      <c r="G85" s="54" t="s">
        <v>673</v>
      </c>
    </row>
    <row r="86" spans="2:7" s="51" customFormat="1" ht="15" x14ac:dyDescent="0.3">
      <c r="B86" s="52">
        <v>22</v>
      </c>
      <c r="C86" s="53">
        <v>41880</v>
      </c>
      <c r="D86" s="57" t="s">
        <v>577</v>
      </c>
      <c r="E86" s="41">
        <v>713118</v>
      </c>
      <c r="F86" s="56" t="s">
        <v>676</v>
      </c>
      <c r="G86" s="54" t="s">
        <v>678</v>
      </c>
    </row>
    <row r="87" spans="2:7" s="51" customFormat="1" ht="15" x14ac:dyDescent="0.3">
      <c r="B87" s="52">
        <v>23</v>
      </c>
      <c r="C87" s="53">
        <v>41880</v>
      </c>
      <c r="D87" s="57" t="s">
        <v>577</v>
      </c>
      <c r="E87" s="41">
        <v>702002</v>
      </c>
      <c r="F87" s="56" t="s">
        <v>677</v>
      </c>
      <c r="G87" s="54" t="s">
        <v>679</v>
      </c>
    </row>
    <row r="88" spans="2:7" s="51" customFormat="1" ht="27" x14ac:dyDescent="0.3">
      <c r="B88" s="52">
        <v>24</v>
      </c>
      <c r="C88" s="53">
        <v>41885</v>
      </c>
      <c r="D88" s="57" t="s">
        <v>647</v>
      </c>
      <c r="E88" s="41">
        <v>718462</v>
      </c>
      <c r="F88" s="56" t="s">
        <v>680</v>
      </c>
      <c r="G88" s="54" t="s">
        <v>681</v>
      </c>
    </row>
    <row r="89" spans="2:7" s="51" customFormat="1" ht="15" x14ac:dyDescent="0.3">
      <c r="B89" s="52">
        <v>25</v>
      </c>
      <c r="C89" s="53">
        <v>41898</v>
      </c>
      <c r="D89" s="57" t="s">
        <v>415</v>
      </c>
      <c r="E89" s="41">
        <v>701324</v>
      </c>
      <c r="F89" s="56" t="s">
        <v>689</v>
      </c>
      <c r="G89" s="54" t="s">
        <v>682</v>
      </c>
    </row>
    <row r="90" spans="2:7" s="51" customFormat="1" ht="45" x14ac:dyDescent="0.3">
      <c r="B90" s="52">
        <v>26</v>
      </c>
      <c r="C90" s="53">
        <v>41900</v>
      </c>
      <c r="D90" s="57" t="s">
        <v>690</v>
      </c>
      <c r="E90" s="41">
        <v>725549</v>
      </c>
      <c r="F90" s="56" t="s">
        <v>692</v>
      </c>
      <c r="G90" s="54" t="s">
        <v>691</v>
      </c>
    </row>
    <row r="91" spans="2:7" s="51" customFormat="1" ht="345" x14ac:dyDescent="0.3">
      <c r="B91" s="52">
        <v>27</v>
      </c>
      <c r="C91" s="53">
        <v>41901</v>
      </c>
      <c r="D91" s="57" t="s">
        <v>690</v>
      </c>
      <c r="E91" s="41" t="s">
        <v>693</v>
      </c>
      <c r="F91" s="56" t="s">
        <v>695</v>
      </c>
      <c r="G91" s="54" t="s">
        <v>694</v>
      </c>
    </row>
    <row r="92" spans="2:7" s="51" customFormat="1" ht="15" x14ac:dyDescent="0.3">
      <c r="B92" s="52">
        <v>28</v>
      </c>
      <c r="C92" s="53">
        <v>41542</v>
      </c>
      <c r="D92" s="57" t="s">
        <v>696</v>
      </c>
      <c r="E92" s="41">
        <v>684883</v>
      </c>
      <c r="F92" s="56" t="s">
        <v>697</v>
      </c>
      <c r="G92" s="54" t="s">
        <v>698</v>
      </c>
    </row>
    <row r="93" spans="2:7" s="51" customFormat="1" ht="90" x14ac:dyDescent="0.3">
      <c r="B93" s="52">
        <v>29</v>
      </c>
      <c r="C93" s="53">
        <v>41914</v>
      </c>
      <c r="D93" s="57" t="s">
        <v>696</v>
      </c>
      <c r="E93" s="41">
        <v>730489</v>
      </c>
      <c r="F93" s="56" t="s">
        <v>699</v>
      </c>
      <c r="G93" s="54" t="s">
        <v>700</v>
      </c>
    </row>
    <row r="94" spans="2:7" s="51" customFormat="1" ht="45" x14ac:dyDescent="0.3">
      <c r="B94" s="52">
        <v>30</v>
      </c>
      <c r="C94" s="53">
        <v>41915</v>
      </c>
      <c r="D94" s="57" t="s">
        <v>701</v>
      </c>
      <c r="E94" s="41">
        <v>701629</v>
      </c>
      <c r="F94" s="56" t="s">
        <v>703</v>
      </c>
      <c r="G94" s="54" t="s">
        <v>702</v>
      </c>
    </row>
    <row r="95" spans="2:7" s="51" customFormat="1" ht="90" x14ac:dyDescent="0.3">
      <c r="B95" s="52">
        <v>31</v>
      </c>
      <c r="C95" s="53">
        <v>41918</v>
      </c>
      <c r="D95" s="57" t="s">
        <v>704</v>
      </c>
      <c r="E95" s="41">
        <v>721130</v>
      </c>
      <c r="F95" s="56" t="s">
        <v>705</v>
      </c>
      <c r="G95" s="54" t="s">
        <v>706</v>
      </c>
    </row>
    <row r="96" spans="2:7" s="51" customFormat="1" ht="78" x14ac:dyDescent="0.3">
      <c r="B96" s="52">
        <v>32</v>
      </c>
      <c r="C96" s="53">
        <v>41927</v>
      </c>
      <c r="D96" s="57" t="s">
        <v>707</v>
      </c>
      <c r="E96" s="41">
        <v>729685</v>
      </c>
      <c r="F96" s="56" t="s">
        <v>711</v>
      </c>
      <c r="G96" s="54" t="s">
        <v>712</v>
      </c>
    </row>
    <row r="97" spans="1:7" s="51" customFormat="1" ht="330" x14ac:dyDescent="0.3">
      <c r="B97" s="52">
        <v>33</v>
      </c>
      <c r="C97" s="53">
        <v>41927</v>
      </c>
      <c r="D97" s="57" t="s">
        <v>708</v>
      </c>
      <c r="E97" s="41">
        <v>729685</v>
      </c>
      <c r="F97" s="56" t="s">
        <v>714</v>
      </c>
      <c r="G97" s="54" t="s">
        <v>713</v>
      </c>
    </row>
    <row r="98" spans="1:7" s="51" customFormat="1" ht="315" x14ac:dyDescent="0.3">
      <c r="B98" s="52">
        <v>33</v>
      </c>
      <c r="C98" s="53">
        <v>41927</v>
      </c>
      <c r="D98" s="57" t="s">
        <v>708</v>
      </c>
      <c r="E98" s="41">
        <v>729685</v>
      </c>
      <c r="F98" s="56" t="s">
        <v>715</v>
      </c>
      <c r="G98" s="54" t="s">
        <v>713</v>
      </c>
    </row>
    <row r="99" spans="1:7" s="51" customFormat="1" ht="345" x14ac:dyDescent="0.3">
      <c r="A99" s="52"/>
      <c r="B99" s="52">
        <v>33</v>
      </c>
      <c r="C99" s="53">
        <v>41927</v>
      </c>
      <c r="D99" s="57" t="s">
        <v>708</v>
      </c>
      <c r="E99" s="41">
        <v>729685</v>
      </c>
      <c r="F99" s="56" t="s">
        <v>710</v>
      </c>
      <c r="G99" s="54" t="s">
        <v>713</v>
      </c>
    </row>
    <row r="100" spans="1:7" s="51" customFormat="1" ht="135" x14ac:dyDescent="0.3">
      <c r="B100" s="52">
        <v>33</v>
      </c>
      <c r="C100" s="53">
        <v>41927</v>
      </c>
      <c r="D100" s="57" t="s">
        <v>708</v>
      </c>
      <c r="E100" s="41">
        <v>729685</v>
      </c>
      <c r="F100" s="56" t="s">
        <v>709</v>
      </c>
      <c r="G100" s="54" t="s">
        <v>713</v>
      </c>
    </row>
    <row r="101" spans="1:7" s="51" customFormat="1" ht="195" x14ac:dyDescent="0.3">
      <c r="B101" s="52">
        <v>34</v>
      </c>
      <c r="C101" s="53">
        <v>41929</v>
      </c>
      <c r="D101" s="57" t="s">
        <v>716</v>
      </c>
      <c r="E101" s="41" t="s">
        <v>717</v>
      </c>
      <c r="F101" s="56" t="s">
        <v>718</v>
      </c>
      <c r="G101" s="54" t="s">
        <v>719</v>
      </c>
    </row>
    <row r="102" spans="1:7" s="51" customFormat="1" ht="120" x14ac:dyDescent="0.3">
      <c r="B102" s="52">
        <v>35</v>
      </c>
      <c r="C102" s="53">
        <v>41933</v>
      </c>
      <c r="D102" s="57" t="s">
        <v>402</v>
      </c>
      <c r="E102" s="41">
        <v>726130</v>
      </c>
      <c r="F102" s="56" t="s">
        <v>721</v>
      </c>
      <c r="G102" s="54" t="s">
        <v>720</v>
      </c>
    </row>
    <row r="103" spans="1:7" s="51" customFormat="1" ht="30" x14ac:dyDescent="0.3">
      <c r="B103" s="52">
        <v>36</v>
      </c>
      <c r="C103" s="53">
        <v>41940</v>
      </c>
      <c r="D103" s="57" t="s">
        <v>415</v>
      </c>
      <c r="E103" s="41">
        <v>746507</v>
      </c>
      <c r="F103" s="56" t="s">
        <v>724</v>
      </c>
      <c r="G103" s="54" t="s">
        <v>722</v>
      </c>
    </row>
    <row r="104" spans="1:7" s="51" customFormat="1" ht="60" x14ac:dyDescent="0.3">
      <c r="B104" s="52">
        <v>37</v>
      </c>
      <c r="C104" s="53">
        <v>41943</v>
      </c>
      <c r="D104" s="57" t="s">
        <v>727</v>
      </c>
      <c r="E104" s="41">
        <v>712640</v>
      </c>
      <c r="F104" s="56" t="s">
        <v>726</v>
      </c>
      <c r="G104" s="54" t="s">
        <v>725</v>
      </c>
    </row>
    <row r="105" spans="1:7" s="51" customFormat="1" ht="30" x14ac:dyDescent="0.3">
      <c r="B105" s="52">
        <v>38</v>
      </c>
      <c r="C105" s="53">
        <v>41953</v>
      </c>
      <c r="D105" s="57" t="s">
        <v>402</v>
      </c>
      <c r="E105" s="41">
        <v>748644</v>
      </c>
      <c r="F105" s="56" t="s">
        <v>728</v>
      </c>
      <c r="G105" s="54" t="s">
        <v>729</v>
      </c>
    </row>
    <row r="106" spans="1:7" s="51" customFormat="1" ht="25.5" x14ac:dyDescent="0.3">
      <c r="B106" s="52">
        <v>39</v>
      </c>
      <c r="C106" s="53">
        <v>41956</v>
      </c>
      <c r="D106" s="57" t="s">
        <v>402</v>
      </c>
      <c r="E106" s="41">
        <v>754359</v>
      </c>
      <c r="F106" s="56" t="s">
        <v>730</v>
      </c>
      <c r="G106" s="93" t="s">
        <v>731</v>
      </c>
    </row>
    <row r="107" spans="1:7" s="51" customFormat="1" ht="15" x14ac:dyDescent="0.3">
      <c r="B107" s="52">
        <v>40</v>
      </c>
      <c r="C107" s="53">
        <v>41957</v>
      </c>
      <c r="D107" s="57" t="s">
        <v>732</v>
      </c>
      <c r="E107" s="41">
        <v>751357</v>
      </c>
      <c r="F107" s="56" t="s">
        <v>733</v>
      </c>
      <c r="G107" s="93" t="s">
        <v>734</v>
      </c>
    </row>
    <row r="108" spans="1:7" s="51" customFormat="1" ht="15" x14ac:dyDescent="0.3">
      <c r="B108" s="52">
        <v>41</v>
      </c>
      <c r="C108" s="53">
        <v>41958</v>
      </c>
      <c r="D108" s="57" t="s">
        <v>528</v>
      </c>
      <c r="E108" s="41">
        <v>696800</v>
      </c>
      <c r="F108" s="56" t="s">
        <v>736</v>
      </c>
      <c r="G108" s="93" t="s">
        <v>735</v>
      </c>
    </row>
    <row r="109" spans="1:7" s="51" customFormat="1" ht="25.5" x14ac:dyDescent="0.3">
      <c r="B109" s="52">
        <v>42</v>
      </c>
      <c r="C109" s="53">
        <v>41959</v>
      </c>
      <c r="D109" s="57" t="s">
        <v>402</v>
      </c>
      <c r="E109" s="41">
        <v>739445</v>
      </c>
      <c r="F109" s="56" t="s">
        <v>738</v>
      </c>
      <c r="G109" s="93" t="s">
        <v>737</v>
      </c>
    </row>
    <row r="110" spans="1:7" s="51" customFormat="1" ht="30" x14ac:dyDescent="0.3">
      <c r="B110" s="52">
        <v>43</v>
      </c>
      <c r="C110" s="53">
        <v>41960</v>
      </c>
      <c r="D110" s="57" t="s">
        <v>742</v>
      </c>
      <c r="E110" s="41" t="s">
        <v>740</v>
      </c>
      <c r="F110" s="56" t="s">
        <v>741</v>
      </c>
      <c r="G110" s="93" t="s">
        <v>739</v>
      </c>
    </row>
    <row r="111" spans="1:7" s="51" customFormat="1" ht="15" x14ac:dyDescent="0.3">
      <c r="B111" s="52">
        <v>44</v>
      </c>
      <c r="C111" s="53">
        <v>41961</v>
      </c>
      <c r="D111" s="57" t="s">
        <v>744</v>
      </c>
      <c r="E111" s="41">
        <v>750474</v>
      </c>
      <c r="F111" s="56" t="s">
        <v>746</v>
      </c>
      <c r="G111" s="93" t="s">
        <v>747</v>
      </c>
    </row>
    <row r="112" spans="1:7" s="51" customFormat="1" ht="25.5" x14ac:dyDescent="0.3">
      <c r="B112" s="52">
        <v>45</v>
      </c>
      <c r="C112" s="53">
        <v>41962</v>
      </c>
      <c r="D112" s="57" t="s">
        <v>654</v>
      </c>
      <c r="E112" s="41">
        <v>752877</v>
      </c>
      <c r="F112" s="56" t="s">
        <v>743</v>
      </c>
      <c r="G112" s="93" t="s">
        <v>745</v>
      </c>
    </row>
    <row r="113" spans="2:7" s="51" customFormat="1" ht="30" x14ac:dyDescent="0.3">
      <c r="B113" s="52">
        <v>43</v>
      </c>
      <c r="C113" s="53">
        <v>41960</v>
      </c>
      <c r="D113" s="57" t="s">
        <v>742</v>
      </c>
      <c r="E113" s="41" t="s">
        <v>740</v>
      </c>
      <c r="F113" s="56" t="s">
        <v>741</v>
      </c>
      <c r="G113" s="93" t="s">
        <v>739</v>
      </c>
    </row>
    <row r="114" spans="2:7" s="51" customFormat="1" ht="45" x14ac:dyDescent="0.3">
      <c r="B114" s="52">
        <v>44</v>
      </c>
      <c r="C114" s="53">
        <v>41961</v>
      </c>
      <c r="D114" s="57" t="s">
        <v>748</v>
      </c>
      <c r="E114" s="41">
        <v>744465</v>
      </c>
      <c r="F114" s="56" t="s">
        <v>749</v>
      </c>
      <c r="G114" s="93" t="s">
        <v>750</v>
      </c>
    </row>
    <row r="115" spans="2:7" s="51" customFormat="1" ht="15" x14ac:dyDescent="0.3">
      <c r="B115" s="52">
        <v>45</v>
      </c>
      <c r="C115" s="53">
        <v>41983</v>
      </c>
      <c r="D115" s="57" t="s">
        <v>760</v>
      </c>
      <c r="E115" s="41">
        <v>750720</v>
      </c>
      <c r="F115" s="56" t="s">
        <v>763</v>
      </c>
      <c r="G115" s="93" t="s">
        <v>761</v>
      </c>
    </row>
    <row r="116" spans="2:7" s="51" customFormat="1" ht="15" x14ac:dyDescent="0.3">
      <c r="B116" s="52">
        <v>46</v>
      </c>
      <c r="C116" s="53">
        <v>42009</v>
      </c>
      <c r="D116" s="57" t="s">
        <v>760</v>
      </c>
      <c r="E116" s="41">
        <v>750720</v>
      </c>
      <c r="F116" s="56" t="s">
        <v>764</v>
      </c>
      <c r="G116" s="93" t="s">
        <v>765</v>
      </c>
    </row>
    <row r="117" spans="2:7" s="51" customFormat="1" ht="15" x14ac:dyDescent="0.3">
      <c r="B117" s="52">
        <v>47</v>
      </c>
      <c r="C117" s="53">
        <v>42033</v>
      </c>
      <c r="D117" s="57" t="s">
        <v>760</v>
      </c>
      <c r="E117" s="41">
        <v>787074</v>
      </c>
      <c r="F117" s="56" t="s">
        <v>766</v>
      </c>
      <c r="G117" s="93" t="s">
        <v>767</v>
      </c>
    </row>
    <row r="118" spans="2:7" s="51" customFormat="1" ht="15" x14ac:dyDescent="0.3">
      <c r="B118" s="52">
        <v>48</v>
      </c>
      <c r="C118" s="53">
        <v>42047</v>
      </c>
      <c r="D118" s="57" t="s">
        <v>760</v>
      </c>
      <c r="E118" s="41">
        <v>791412</v>
      </c>
      <c r="F118" s="56" t="s">
        <v>768</v>
      </c>
      <c r="G118" s="93" t="s">
        <v>769</v>
      </c>
    </row>
    <row r="119" spans="2:7" s="51" customFormat="1" ht="15" x14ac:dyDescent="0.3">
      <c r="B119" s="52">
        <v>49</v>
      </c>
      <c r="C119" s="53" t="s">
        <v>770</v>
      </c>
      <c r="D119" s="57" t="s">
        <v>760</v>
      </c>
      <c r="E119" s="41">
        <v>797229</v>
      </c>
      <c r="F119" s="56" t="s">
        <v>771</v>
      </c>
      <c r="G119" s="93" t="s">
        <v>772</v>
      </c>
    </row>
    <row r="120" spans="2:7" s="51" customFormat="1" ht="15" x14ac:dyDescent="0.3">
      <c r="B120" s="52">
        <v>50</v>
      </c>
      <c r="C120" s="53" t="s">
        <v>775</v>
      </c>
      <c r="D120" s="57" t="s">
        <v>760</v>
      </c>
      <c r="E120" s="41">
        <v>743937</v>
      </c>
      <c r="F120" s="56" t="s">
        <v>776</v>
      </c>
      <c r="G120" s="93" t="s">
        <v>777</v>
      </c>
    </row>
    <row r="121" spans="2:7" s="51" customFormat="1" ht="15" x14ac:dyDescent="0.3">
      <c r="B121" s="52">
        <v>51</v>
      </c>
      <c r="C121" s="53">
        <v>42097</v>
      </c>
      <c r="D121" s="57" t="s">
        <v>760</v>
      </c>
      <c r="E121" s="41">
        <v>802085</v>
      </c>
      <c r="F121" s="56" t="s">
        <v>778</v>
      </c>
      <c r="G121" s="93" t="s">
        <v>779</v>
      </c>
    </row>
    <row r="122" spans="2:7" s="51" customFormat="1" ht="15" x14ac:dyDescent="0.3">
      <c r="B122" s="52">
        <v>52</v>
      </c>
      <c r="C122" s="53">
        <v>42235</v>
      </c>
      <c r="D122" s="57" t="s">
        <v>760</v>
      </c>
      <c r="E122" s="41">
        <v>854297</v>
      </c>
      <c r="F122" s="56" t="s">
        <v>784</v>
      </c>
      <c r="G122" s="93" t="s">
        <v>783</v>
      </c>
    </row>
    <row r="123" spans="2:7" s="51" customFormat="1" ht="15" x14ac:dyDescent="0.3">
      <c r="B123" s="52">
        <v>53</v>
      </c>
      <c r="C123" s="53">
        <v>42317</v>
      </c>
      <c r="D123" s="57" t="s">
        <v>786</v>
      </c>
      <c r="E123" s="41">
        <v>936684</v>
      </c>
      <c r="F123" s="56" t="s">
        <v>787</v>
      </c>
      <c r="G123" s="93" t="s">
        <v>788</v>
      </c>
    </row>
    <row r="124" spans="2:7" s="51" customFormat="1" ht="15" x14ac:dyDescent="0.3">
      <c r="B124" s="52">
        <v>54</v>
      </c>
      <c r="C124" s="53">
        <v>42396</v>
      </c>
      <c r="D124" s="57" t="s">
        <v>753</v>
      </c>
      <c r="E124" s="41">
        <v>967289</v>
      </c>
      <c r="F124" s="56" t="s">
        <v>1230</v>
      </c>
      <c r="G124" s="93" t="s">
        <v>1231</v>
      </c>
    </row>
    <row r="125" spans="2:7" s="51" customFormat="1" ht="15" x14ac:dyDescent="0.3">
      <c r="B125" s="52">
        <v>55</v>
      </c>
      <c r="C125" s="53">
        <v>42424</v>
      </c>
      <c r="D125" s="57" t="s">
        <v>786</v>
      </c>
      <c r="E125" s="41">
        <v>973486</v>
      </c>
      <c r="F125" s="56" t="s">
        <v>1233</v>
      </c>
      <c r="G125" s="93" t="s">
        <v>1232</v>
      </c>
    </row>
    <row r="126" spans="2:7" ht="15" x14ac:dyDescent="0.3">
      <c r="B126" s="52">
        <v>56</v>
      </c>
      <c r="C126" s="53">
        <v>42424</v>
      </c>
      <c r="D126" s="57" t="s">
        <v>786</v>
      </c>
      <c r="E126" s="41">
        <v>859503</v>
      </c>
      <c r="F126" s="56" t="s">
        <v>1234</v>
      </c>
      <c r="G126" s="93" t="s">
        <v>1235</v>
      </c>
    </row>
    <row r="127" spans="2:7" ht="15" x14ac:dyDescent="0.3">
      <c r="B127" s="52">
        <v>57</v>
      </c>
      <c r="C127" s="53">
        <v>42461</v>
      </c>
      <c r="D127" s="57" t="s">
        <v>760</v>
      </c>
      <c r="E127" s="41">
        <v>994659</v>
      </c>
      <c r="F127" s="56" t="s">
        <v>1245</v>
      </c>
      <c r="G127" s="93" t="s">
        <v>1246</v>
      </c>
    </row>
    <row r="128" spans="2:7" ht="15" x14ac:dyDescent="0.3">
      <c r="B128" s="52">
        <v>58</v>
      </c>
      <c r="C128" s="43">
        <v>42465</v>
      </c>
      <c r="D128" s="44" t="s">
        <v>1248</v>
      </c>
      <c r="E128" s="41">
        <v>998979</v>
      </c>
      <c r="F128" s="56" t="s">
        <v>1249</v>
      </c>
      <c r="G128" s="93" t="s">
        <v>1247</v>
      </c>
    </row>
    <row r="129" spans="2:7" ht="15" x14ac:dyDescent="0.3">
      <c r="B129" s="52">
        <v>59</v>
      </c>
      <c r="C129" s="43">
        <v>42486</v>
      </c>
      <c r="D129" s="44" t="s">
        <v>1250</v>
      </c>
      <c r="E129" s="41">
        <v>986958</v>
      </c>
      <c r="F129" s="56" t="s">
        <v>1245</v>
      </c>
      <c r="G129" s="93" t="s">
        <v>1251</v>
      </c>
    </row>
    <row r="130" spans="2:7" ht="15" x14ac:dyDescent="0.3">
      <c r="B130" s="52">
        <v>60</v>
      </c>
      <c r="C130" s="43">
        <v>42493</v>
      </c>
      <c r="D130" s="44" t="s">
        <v>1248</v>
      </c>
      <c r="E130" s="41">
        <v>902207</v>
      </c>
      <c r="F130" s="25" t="s">
        <v>1267</v>
      </c>
      <c r="G130" s="93" t="s">
        <v>1266</v>
      </c>
    </row>
    <row r="131" spans="2:7" ht="15" x14ac:dyDescent="0.3">
      <c r="B131" s="52">
        <v>61</v>
      </c>
      <c r="C131" s="43">
        <v>42496</v>
      </c>
      <c r="D131" s="45" t="s">
        <v>1248</v>
      </c>
      <c r="E131" s="41">
        <v>1009844</v>
      </c>
      <c r="F131" s="25" t="s">
        <v>1268</v>
      </c>
      <c r="G131" s="93" t="s">
        <v>1269</v>
      </c>
    </row>
    <row r="132" spans="2:7" ht="15" x14ac:dyDescent="0.3">
      <c r="B132" s="218">
        <v>62</v>
      </c>
      <c r="C132" s="43">
        <v>42500</v>
      </c>
      <c r="D132" s="44" t="s">
        <v>1270</v>
      </c>
      <c r="E132" s="41">
        <v>1012264</v>
      </c>
      <c r="F132" s="56" t="s">
        <v>1270</v>
      </c>
      <c r="G132" s="217" t="s">
        <v>769</v>
      </c>
    </row>
    <row r="133" spans="2:7" ht="15" x14ac:dyDescent="0.3">
      <c r="B133" s="218">
        <v>63</v>
      </c>
      <c r="C133" s="43">
        <v>42500</v>
      </c>
      <c r="D133" s="44" t="s">
        <v>1273</v>
      </c>
      <c r="E133" s="41">
        <v>1012265</v>
      </c>
      <c r="F133" s="23" t="s">
        <v>1273</v>
      </c>
      <c r="G133" s="217" t="s">
        <v>1271</v>
      </c>
    </row>
    <row r="134" spans="2:7" ht="15" x14ac:dyDescent="0.3">
      <c r="B134" s="218">
        <v>64</v>
      </c>
      <c r="C134" s="43">
        <v>42500</v>
      </c>
      <c r="D134" s="44" t="s">
        <v>1275</v>
      </c>
      <c r="E134" s="41">
        <v>1012266</v>
      </c>
      <c r="F134" s="25" t="s">
        <v>1275</v>
      </c>
      <c r="G134" s="217" t="s">
        <v>1274</v>
      </c>
    </row>
    <row r="135" spans="2:7" ht="15" x14ac:dyDescent="0.3">
      <c r="B135" s="29">
        <v>65</v>
      </c>
      <c r="C135" s="43">
        <v>42536</v>
      </c>
      <c r="D135" s="44" t="s">
        <v>1276</v>
      </c>
      <c r="E135" s="41">
        <v>1012747</v>
      </c>
      <c r="F135" s="25" t="s">
        <v>1277</v>
      </c>
      <c r="G135" s="217" t="s">
        <v>1278</v>
      </c>
    </row>
    <row r="136" spans="2:7" ht="15" x14ac:dyDescent="0.3">
      <c r="B136" s="52">
        <v>66</v>
      </c>
      <c r="C136" s="43">
        <v>42550</v>
      </c>
      <c r="D136" s="44" t="s">
        <v>1250</v>
      </c>
      <c r="E136" s="41">
        <v>1030314</v>
      </c>
      <c r="F136" s="56" t="s">
        <v>1245</v>
      </c>
      <c r="G136" s="93" t="s">
        <v>1279</v>
      </c>
    </row>
    <row r="137" spans="2:7" ht="15" x14ac:dyDescent="0.3">
      <c r="B137" s="29">
        <v>67</v>
      </c>
      <c r="C137" s="43">
        <v>42563</v>
      </c>
      <c r="D137" s="44" t="s">
        <v>1250</v>
      </c>
      <c r="E137" s="41">
        <v>1036916</v>
      </c>
      <c r="F137" s="25" t="s">
        <v>1245</v>
      </c>
      <c r="G137" s="93" t="s">
        <v>1280</v>
      </c>
    </row>
    <row r="138" spans="2:7" ht="15" x14ac:dyDescent="0.3">
      <c r="B138" s="29">
        <v>68</v>
      </c>
      <c r="C138" s="43">
        <v>42594</v>
      </c>
      <c r="D138" s="44" t="s">
        <v>1284</v>
      </c>
      <c r="E138" s="41">
        <v>1049090</v>
      </c>
      <c r="F138" s="25" t="s">
        <v>1285</v>
      </c>
      <c r="G138" s="93" t="s">
        <v>1251</v>
      </c>
    </row>
    <row r="139" spans="2:7" ht="15" x14ac:dyDescent="0.3">
      <c r="B139" s="29">
        <v>69</v>
      </c>
      <c r="C139" s="43">
        <v>42606</v>
      </c>
      <c r="D139" s="44" t="s">
        <v>1321</v>
      </c>
      <c r="E139" s="41">
        <v>1055779</v>
      </c>
      <c r="F139" s="44" t="s">
        <v>1321</v>
      </c>
      <c r="G139" s="93" t="s">
        <v>1266</v>
      </c>
    </row>
    <row r="140" spans="2:7" x14ac:dyDescent="0.2">
      <c r="B140" s="29">
        <v>70</v>
      </c>
      <c r="C140" s="43">
        <v>42691</v>
      </c>
      <c r="D140" s="29" t="s">
        <v>1248</v>
      </c>
      <c r="E140" s="218">
        <v>1085350</v>
      </c>
      <c r="F140" s="29" t="s">
        <v>1322</v>
      </c>
      <c r="G140" s="217" t="s">
        <v>1323</v>
      </c>
    </row>
    <row r="141" spans="2:7" ht="15" x14ac:dyDescent="0.3">
      <c r="B141" s="29"/>
      <c r="C141" s="46"/>
      <c r="D141" s="47"/>
      <c r="E141" s="25"/>
      <c r="F141" s="25"/>
      <c r="G141" s="25"/>
    </row>
    <row r="142" spans="2:7" x14ac:dyDescent="0.2">
      <c r="B142" s="29"/>
      <c r="C142" s="46"/>
      <c r="D142" s="45"/>
      <c r="E142" s="25"/>
      <c r="F142" s="25"/>
      <c r="G142" s="25"/>
    </row>
    <row r="143" spans="2:7" x14ac:dyDescent="0.2">
      <c r="B143" s="29"/>
      <c r="C143" s="43"/>
      <c r="D143" s="45"/>
      <c r="E143" s="25"/>
      <c r="F143" s="25"/>
      <c r="G143" s="25"/>
    </row>
    <row r="144" spans="2:7" x14ac:dyDescent="0.2">
      <c r="B144" s="29"/>
      <c r="C144" s="43"/>
      <c r="D144" s="44"/>
      <c r="E144" s="25"/>
      <c r="F144" s="25"/>
      <c r="G144" s="25"/>
    </row>
    <row r="145" spans="2:7" x14ac:dyDescent="0.2">
      <c r="B145" s="29"/>
      <c r="C145" s="43"/>
      <c r="D145" s="44"/>
      <c r="E145" s="25"/>
      <c r="F145" s="25"/>
      <c r="G145" s="25"/>
    </row>
    <row r="146" spans="2:7" x14ac:dyDescent="0.2">
      <c r="B146" s="29"/>
      <c r="C146" s="43"/>
      <c r="D146" s="44"/>
      <c r="E146" s="25"/>
      <c r="F146" s="25"/>
      <c r="G146" s="25"/>
    </row>
    <row r="147" spans="2:7" x14ac:dyDescent="0.2">
      <c r="B147" s="29"/>
      <c r="C147" s="43"/>
      <c r="D147" s="44"/>
      <c r="E147" s="25"/>
      <c r="F147" s="25"/>
      <c r="G147" s="25"/>
    </row>
    <row r="148" spans="2:7" x14ac:dyDescent="0.2">
      <c r="B148" s="29"/>
      <c r="D148" s="44"/>
      <c r="E148" s="25"/>
      <c r="F148" s="25"/>
      <c r="G148" s="25"/>
    </row>
    <row r="149" spans="2:7" x14ac:dyDescent="0.2">
      <c r="B149" s="29"/>
      <c r="D149" s="44"/>
      <c r="E149" s="25"/>
      <c r="F149" s="25"/>
      <c r="G149" s="25"/>
    </row>
    <row r="150" spans="2:7" x14ac:dyDescent="0.2">
      <c r="B150" s="29"/>
      <c r="D150" s="44"/>
      <c r="E150" s="25"/>
      <c r="F150" s="25"/>
      <c r="G150" s="25"/>
    </row>
    <row r="151" spans="2:7" x14ac:dyDescent="0.2">
      <c r="B151" s="29"/>
      <c r="D151" s="44"/>
      <c r="E151" s="25"/>
      <c r="F151" s="25"/>
      <c r="G151" s="25"/>
    </row>
    <row r="152" spans="2:7" x14ac:dyDescent="0.2">
      <c r="B152" s="29"/>
      <c r="E152" s="25"/>
      <c r="F152" s="25"/>
      <c r="G152" s="25"/>
    </row>
    <row r="153" spans="2:7" x14ac:dyDescent="0.2">
      <c r="B153" s="29"/>
      <c r="E153" s="25"/>
      <c r="F153" s="25"/>
      <c r="G153" s="25"/>
    </row>
    <row r="154" spans="2:7" x14ac:dyDescent="0.2">
      <c r="B154" s="29"/>
      <c r="E154" s="25"/>
      <c r="F154" s="25"/>
      <c r="G154" s="25"/>
    </row>
    <row r="155" spans="2:7" x14ac:dyDescent="0.2">
      <c r="B155" s="29"/>
      <c r="E155" s="25"/>
      <c r="F155" s="25"/>
      <c r="G155" s="25"/>
    </row>
    <row r="156" spans="2:7" x14ac:dyDescent="0.2">
      <c r="B156" s="29"/>
      <c r="E156" s="25"/>
      <c r="F156" s="25"/>
      <c r="G156" s="25"/>
    </row>
    <row r="157" spans="2:7" x14ac:dyDescent="0.2">
      <c r="B157" s="29"/>
      <c r="E157" s="25"/>
      <c r="F157" s="25"/>
      <c r="G157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2016-11-17T07:47:14Z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