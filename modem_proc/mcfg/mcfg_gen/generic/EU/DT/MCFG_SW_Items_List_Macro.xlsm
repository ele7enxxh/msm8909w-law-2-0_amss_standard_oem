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EU\DT\"/>
    </mc:Choice>
  </mc:AlternateContent>
  <bookViews>
    <workbookView xWindow="45" yWindow="150" windowWidth="19155" windowHeight="9375" tabRatio="567"/>
  </bookViews>
  <sheets>
    <sheet name="Summary" sheetId="10" r:id="rId1"/>
    <sheet name="Commercial-Non_VoLTE" sheetId="58" r:id="rId2"/>
    <sheet name="Commercial-VoLTE" sheetId="59" r:id="rId3"/>
    <sheet name="CZech-VoLTE" sheetId="60" r:id="rId4"/>
    <sheet name="Revision History" sheetId="8" r:id="rId5"/>
  </sheets>
  <functionGroups builtInGroupCount="18"/>
  <calcPr calcId="152511"/>
</workbook>
</file>

<file path=xl/calcChain.xml><?xml version="1.0" encoding="utf-8"?>
<calcChain xmlns="http://schemas.openxmlformats.org/spreadsheetml/2006/main">
  <c r="F109" i="58" l="1"/>
  <c r="F107" i="58" s="1"/>
  <c r="F612" i="59"/>
  <c r="F610" i="59" s="1"/>
  <c r="F632" i="60"/>
  <c r="F630" i="60" s="1"/>
  <c r="D13" i="10" l="1"/>
  <c r="F628" i="60" l="1"/>
  <c r="F624" i="60"/>
  <c r="F622" i="60" s="1"/>
  <c r="F619" i="60"/>
  <c r="E620" i="60" s="1"/>
  <c r="E617" i="60"/>
  <c r="C13" i="10" l="1"/>
  <c r="F608" i="59"/>
  <c r="F604" i="59"/>
  <c r="F602" i="59" s="1"/>
  <c r="F599" i="59"/>
  <c r="E600" i="59" s="1"/>
  <c r="E597" i="59"/>
  <c r="F105" i="58" l="1"/>
  <c r="F101" i="58" l="1"/>
  <c r="B13" i="10" l="1"/>
  <c r="F99" i="58" l="1"/>
  <c r="F96" i="58"/>
  <c r="E97" i="58" s="1"/>
  <c r="E94" i="58"/>
  <c r="B5" i="10" l="1"/>
  <c r="B4" i="10" l="1"/>
</calcChain>
</file>

<file path=xl/sharedStrings.xml><?xml version="1.0" encoding="utf-8"?>
<sst xmlns="http://schemas.openxmlformats.org/spreadsheetml/2006/main" count="3741" uniqueCount="1036">
  <si>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</si>
  <si>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</si>
  <si>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</si>
  <si>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</si>
  <si>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</si>
  <si>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</si>
  <si>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</si>
  <si>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</si>
  <si>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</si>
  <si>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</si>
  <si>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</si>
  <si>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</si>
  <si>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</si>
  <si>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</si>
  <si>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</si>
  <si>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</si>
  <si>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</si>
  <si>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</si>
  <si>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</si>
  <si>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</si>
  <si>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</si>
  <si>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</si>
  <si>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</si>
  <si>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</si>
  <si>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</si>
  <si>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</si>
  <si>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</si>
  <si>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</si>
  <si>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</si>
  <si>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</si>
  <si>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</si>
  <si>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</si>
  <si>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</si>
  <si>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</si>
  <si>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</si>
  <si>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</si>
  <si>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</si>
  <si>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</si>
  <si>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</si>
  <si>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</si>
  <si>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</si>
  <si>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</si>
  <si>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</si>
  <si>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</si>
  <si>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</si>
  <si>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</si>
  <si>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</si>
  <si>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</si>
  <si>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</si>
  <si>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</si>
  <si>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</si>
  <si>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</si>
  <si>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</si>
  <si>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</si>
  <si>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</si>
  <si>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</si>
  <si>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</si>
  <si>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</si>
  <si>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</si>
  <si>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</si>
  <si>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</si>
  <si>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</si>
  <si>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</si>
  <si>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</si>
  <si>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</si>
  <si>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</si>
  <si>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</si>
  <si>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</si>
  <si>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</si>
  <si>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</si>
  <si>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</si>
  <si>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</si>
  <si>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</si>
  <si>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</si>
  <si>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</si>
  <si>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</si>
  <si>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</si>
  <si>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</si>
  <si>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</si>
  <si>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</si>
  <si>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</si>
  <si>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</si>
  <si>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</si>
  <si>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</si>
  <si>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</si>
  <si>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</si>
  <si>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</si>
  <si>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</si>
  <si>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</si>
  <si>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</si>
  <si>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</si>
  <si>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</si>
  <si>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</si>
  <si>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</si>
  <si>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</si>
  <si>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</si>
  <si>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</si>
  <si>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</si>
  <si>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</si>
  <si>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</si>
  <si>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</si>
  <si>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</si>
  <si>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</si>
  <si>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</si>
  <si>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</si>
  <si>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</si>
  <si>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</si>
  <si>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</si>
  <si>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</si>
  <si>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</si>
  <si>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</si>
  <si>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</si>
  <si>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</si>
  <si>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</si>
  <si>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</si>
  <si>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</si>
  <si>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</si>
  <si>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</si>
  <si>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</si>
  <si>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</si>
  <si>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</si>
  <si>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</si>
  <si>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</si>
  <si>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</si>
  <si>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</si>
  <si>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</si>
  <si>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</si>
  <si>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</si>
  <si>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</si>
  <si>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</si>
  <si>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</si>
  <si>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</si>
  <si>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</si>
  <si>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</si>
  <si>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</si>
  <si>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</si>
  <si>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</si>
  <si>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</si>
  <si>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</si>
  <si>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</si>
  <si>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</si>
  <si>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</si>
  <si>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</si>
  <si>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</si>
  <si>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</si>
  <si>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</si>
  <si>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</si>
  <si>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</si>
  <si>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</si>
  <si>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</si>
  <si>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IMS VOIP Configuration</t>
  </si>
  <si>
    <t>/nv/item_files/ims/qp_ims_voip_config</t>
  </si>
  <si>
    <t>/nv/item_files/data/dsd/ds_apn_switching</t>
  </si>
  <si>
    <t>Data APN Switching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</si>
  <si>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</si>
  <si>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</si>
  <si>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</si>
  <si>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</si>
  <si>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</si>
  <si>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</si>
  <si>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</si>
  <si>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</si>
  <si>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</si>
  <si>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</si>
  <si>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</si>
  <si>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</si>
  <si>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</si>
  <si>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</si>
  <si>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</si>
  <si>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</si>
  <si>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</si>
  <si>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</si>
  <si>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</si>
  <si>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</si>
  <si>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</si>
  <si>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</si>
  <si>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</si>
  <si>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</si>
  <si>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</si>
  <si>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</si>
  <si>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</si>
  <si>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</si>
  <si>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</si>
  <si>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</si>
  <si>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</si>
  <si>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</si>
  <si>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</si>
  <si>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</si>
  <si>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</si>
  <si>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</si>
  <si>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</si>
  <si>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QoS Enabled</t>
  </si>
  <si>
    <t>/nv/item_files/ims/qipcall_qos_enabled</t>
  </si>
  <si>
    <t>QIPCall Precondition Enabled</t>
  </si>
  <si>
    <t>/nv/item_files/ims/qipcall_precondition_enable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</si>
  <si>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</si>
  <si>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</si>
  <si>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</si>
  <si>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</si>
  <si>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</si>
  <si>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</si>
  <si>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</si>
  <si>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</si>
  <si>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</si>
  <si>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</si>
  <si>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</si>
  <si>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</si>
  <si>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</si>
  <si>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</si>
  <si>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</si>
  <si>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</si>
  <si>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</si>
  <si>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</si>
  <si>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</si>
  <si>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</si>
  <si>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</si>
  <si>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</si>
  <si>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</si>
  <si>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</si>
  <si>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</si>
  <si>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</si>
  <si>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</t>
  </si>
  <si>
    <t>ReservedBytes</t>
  </si>
  <si>
    <t>iVersion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</si>
  <si>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</si>
  <si>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</si>
  <si>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</si>
  <si>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</si>
  <si>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</si>
  <si>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</si>
  <si>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</si>
  <si>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</si>
  <si>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</si>
  <si>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</si>
  <si>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</si>
  <si>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</si>
  <si>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</si>
  <si>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</si>
  <si>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</si>
  <si>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</si>
  <si>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</si>
  <si>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</si>
  <si>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</si>
  <si>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</si>
  <si>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</si>
  <si>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</si>
  <si>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</si>
  <si>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</si>
  <si>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</si>
  <si>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</si>
  <si>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</si>
  <si>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</si>
  <si>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</si>
  <si>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</si>
  <si>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</si>
  <si>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</si>
  <si>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</si>
  <si>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</si>
  <si>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</si>
  <si>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</si>
  <si>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</si>
  <si>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</si>
  <si>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</si>
  <si>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</si>
  <si>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</si>
  <si>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</si>
  <si>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</si>
  <si>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</si>
  <si>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</si>
  <si>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</si>
  <si>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</si>
  <si>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</si>
  <si>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</si>
  <si>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</si>
  <si>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</si>
  <si>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</si>
  <si>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</si>
  <si>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</si>
  <si>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</si>
  <si>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</si>
  <si>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</si>
  <si>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</si>
  <si>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</si>
  <si>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</si>
  <si>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</si>
  <si>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</si>
  <si>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</si>
  <si>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</si>
  <si>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</si>
  <si>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</si>
  <si>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</si>
  <si>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</si>
  <si>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</si>
  <si>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</si>
  <si>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</si>
  <si>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</si>
  <si>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</si>
  <si>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</si>
  <si>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</si>
  <si>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</si>
  <si>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</si>
  <si>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</si>
  <si>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</si>
  <si>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</si>
  <si>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</si>
  <si>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</si>
  <si>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</si>
  <si>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</si>
  <si>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</si>
  <si>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</si>
  <si>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</si>
  <si>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</si>
  <si>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</si>
  <si>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</si>
  <si>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</si>
  <si>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</si>
  <si>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</si>
  <si>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</si>
  <si>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</si>
  <si>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</si>
  <si>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</si>
  <si>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/nv/item_files/modem/mmode/supplement_service_domain_pref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</si>
  <si>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</si>
  <si>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</si>
  <si>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</si>
  <si>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</si>
  <si>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</si>
  <si>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</si>
  <si>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</si>
  <si>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</si>
  <si>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</si>
  <si>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</si>
  <si>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</si>
  <si>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</si>
  <si>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</si>
  <si>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Publish_error_recovery_timer</t>
  </si>
  <si>
    <t>Enable_modem_presence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</si>
  <si>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</si>
  <si>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</si>
  <si>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</si>
  <si>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</si>
  <si>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</si>
  <si>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</si>
  <si>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PS Supplementary Service Domain Preference</t>
  </si>
  <si>
    <t>local_upgrade_accept_timer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</si>
  <si>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</si>
  <si>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</si>
  <si>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</si>
  <si>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</si>
  <si>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</si>
  <si>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</si>
  <si>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</si>
  <si>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</si>
  <si>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LocalQoSAudio</t>
  </si>
  <si>
    <t>/nv/item_files/ims/qipcall_vt_quality_selector</t>
  </si>
  <si>
    <t>Wlan Offload Config</t>
  </si>
  <si>
    <t>/nv/item_files/data/wlan_config/wlan_offload_config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</si>
  <si>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</si>
  <si>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</si>
  <si>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</si>
  <si>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</si>
  <si>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</si>
  <si>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</si>
  <si>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</si>
  <si>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ims_cache_expiry_duration</t>
  </si>
  <si>
    <t>/nv/item_files/modem/mmode/mid_call_srvcc_info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</si>
  <si>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</si>
  <si>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</si>
  <si>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</si>
  <si>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</si>
  <si>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</si>
  <si>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</si>
  <si>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</si>
  <si>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</si>
  <si>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</si>
  <si>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</si>
  <si>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</si>
  <si>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</si>
  <si>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</si>
  <si>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</si>
  <si>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</si>
  <si>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</si>
  <si>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</si>
  <si>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Submitted By</t>
  </si>
  <si>
    <t>EU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</si>
  <si>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</si>
  <si>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</si>
  <si>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</si>
  <si>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</si>
  <si>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MCFG.MPSS.5.0</t>
  </si>
  <si>
    <t>QC_version_type</t>
  </si>
  <si>
    <t>0x05</t>
  </si>
  <si>
    <t>QC_version_len</t>
  </si>
  <si>
    <t>QC_version</t>
  </si>
  <si>
    <t>enable</t>
  </si>
  <si>
    <t>rings</t>
  </si>
  <si>
    <t>Auto Redial Setting</t>
  </si>
  <si>
    <t>auto_redial</t>
  </si>
  <si>
    <t>Acquisition order preference</t>
  </si>
  <si>
    <t>acq_order</t>
  </si>
  <si>
    <t>Network Selection Mode Preference</t>
  </si>
  <si>
    <t>net_sel_mode</t>
  </si>
  <si>
    <t>GSM/UMTS SMS Bearer Preference</t>
  </si>
  <si>
    <t>sms_gw_bearer_pref</t>
  </si>
  <si>
    <t>0 – UE sends the SMS over GSM (CS), unless a TBF is active, in which case the SMS is sent over GPRS 1 – UE sends the SMS over GPRS (PS), unless there is a CS ,  connection, in which case the SMS is sent over GSM2 - CS Only (This is for SMS over CS only)</t>
  </si>
  <si>
    <t>DTM Feature Support</t>
  </si>
  <si>
    <t>dtm_feature_support</t>
  </si>
  <si>
    <t>0 - Disable DTM Feature Support   1 - Enable DTM Feature Support</t>
  </si>
  <si>
    <t>UMTS amr code preference Config</t>
  </si>
  <si>
    <t>umts_amr_codec_preference_config</t>
  </si>
  <si>
    <t>DARP Feature support</t>
  </si>
  <si>
    <t>darp_feature_support</t>
  </si>
  <si>
    <t>0 – CLASSMARK 3 signaling will not contain SAIC/DARP feature support1 – CLASSMARK 3 signaling will contain SAIC/DARP feature support Currently, our AMSS code only supports SAIC/DARP for CS (voice calls) operation only.</t>
  </si>
  <si>
    <t>NAS Release Compliance</t>
  </si>
  <si>
    <t>nas_release_compliance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</si>
  <si>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</si>
  <si>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0x39</t>
  </si>
  <si>
    <t>0x06</t>
  </si>
  <si>
    <t>Ipv6 Enabled</t>
  </si>
  <si>
    <t>ipv6_enabled</t>
  </si>
  <si>
    <t>0 - Automatic network selection, 1 - Manual network selection, 2 - Limited Service</t>
  </si>
  <si>
    <t>SMS MO Channel</t>
  </si>
  <si>
    <t>sms_mo_channel</t>
  </si>
  <si>
    <t>SMS MO ON TRAFFIC Channel</t>
  </si>
  <si>
    <t>sms_mo_on_traffic_channel</t>
  </si>
  <si>
    <t>SMS Only Registration</t>
  </si>
  <si>
    <t>/nv/item_files/modem/mmode/sms_only</t>
  </si>
  <si>
    <t xml:space="preserve">0 --- Smart Device 1 --- Netbook / data cards </t>
  </si>
  <si>
    <t>WCDMA RRC Fast Return To LTE After CSFB Enabled</t>
  </si>
  <si>
    <t>/nv/item_files/wcdma/rrc/wcdma_rrc_fast_return_to_lte_after_csfb</t>
  </si>
  <si>
    <t>/nv/item_files/wcdma/rrc/wcdma_rrc_fast_return_to_lte_after_csfb_timer</t>
  </si>
  <si>
    <t>This is for specific "Fast Return to LTE" feature, 0 -- Disable1 -- Enable</t>
  </si>
  <si>
    <t>default value is 2000</t>
  </si>
  <si>
    <t>WCDMA RRC Fast Return To LTE After CSFB Timer</t>
  </si>
  <si>
    <t>IMS UT Specific Config</t>
  </si>
  <si>
    <t>/nv/item_files/ims/qp_ims_ut_config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</si>
  <si>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</si>
  <si>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</si>
  <si>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</si>
  <si>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</si>
  <si>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</si>
  <si>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</si>
  <si>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</si>
  <si>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iUtRetryAttemptCount</t>
  </si>
  <si>
    <t>/nv/item_files/ims/qp_ims_cellid</t>
  </si>
  <si>
    <t>CellId &lt; version 1 &gt;</t>
  </si>
  <si>
    <t>QIPCALL QOS Reservation Timer</t>
  </si>
  <si>
    <t>QOS reservation timer</t>
  </si>
  <si>
    <t>VOIP Preferred Codec</t>
  </si>
  <si>
    <t>/nv/item_files/ims/voip_prfrd_codec</t>
  </si>
  <si>
    <t>QIPCall Quality Selector</t>
  </si>
  <si>
    <t>NAS Ignore MT CSFB During VOLTE Call</t>
  </si>
  <si>
    <t>/nv/item_files/modem/mmode/lte_nas_ignore_mt_csfb_during_volte_call</t>
  </si>
  <si>
    <t>IMS User Agent</t>
  </si>
  <si>
    <t>/nv/item_files/ims/ims_user_agent</t>
  </si>
  <si>
    <t>ims_user_agent</t>
  </si>
  <si>
    <t>0 - GW_ACQ_ORDER_PREF_AUTOMATIC, 
1 - GW_ACQ_ORDER_PREF_GSM_WCDMA, 
2 - GW_ACQ_ORDER_PREF_WCDMA_GSM</t>
  </si>
  <si>
    <t>set to 1 for 3GPP
 1=Enable APN switch, 0=disable APN switch</t>
  </si>
  <si>
    <t>Initial Version</t>
  </si>
  <si>
    <t>GSM→LTE Blind Redirection after CSFB Calls</t>
  </si>
  <si>
    <t>/nv/item_files/modem/geran/grr/g2l_blind_redir_after_csfb_control</t>
  </si>
  <si>
    <t>/nv/item_files/modem/lte/rrc/irat/gsm</t>
  </si>
  <si>
    <t>MPA</t>
  </si>
  <si>
    <t>Bit-mask. xxxxABCD 
A – Controls WCDMA AMR WB 
B – Controls GSM HR AMR 
C – Controls GSM AMR WB 
D – Controls GSM AMR NB 
'0' for the A, B, C, and D bits – Corresponding AMR codec is not supported 
'1' for the A, B, C, and D bits – Corresponding AMR codec is supported
Default = 0x0F</t>
  </si>
  <si>
    <t>gprs_gea_algorithms_supported</t>
  </si>
  <si>
    <t>0x07</t>
  </si>
  <si>
    <t>GPRS Encryption Algorithms Supported</t>
  </si>
  <si>
    <t>Bitmask. Bit(n) = GEA(n+1) support</t>
  </si>
  <si>
    <t>DT</t>
  </si>
  <si>
    <t>DT: 0x05011F00</t>
  </si>
  <si>
    <t>DT VOLTE Qualcomm</t>
  </si>
  <si>
    <t>Deutsche Telekom MCFG SW Items List</t>
  </si>
  <si>
    <t>NAS SRVCC Support</t>
  </si>
  <si>
    <t>nas_srvcc_support</t>
  </si>
  <si>
    <t>SMS Retry Limit</t>
  </si>
  <si>
    <t>/nv/item_files/modem/sms/sms_retry_limit</t>
  </si>
  <si>
    <t>+g.3gpp.smsip</t>
  </si>
  <si>
    <t>conf-factory.ics.mnc01.mcc262.3gppnetwork.org</t>
  </si>
  <si>
    <t>MGRF Supported</t>
  </si>
  <si>
    <t>mgrf_supported</t>
  </si>
  <si>
    <t>Commercial Updates</t>
  </si>
  <si>
    <t xml:space="preserve">EU configuration updates,  NV 5895=0x01 (MGRF supported) </t>
  </si>
  <si>
    <t>DT: 0x05011F01</t>
  </si>
  <si>
    <t xml:space="preserve">EU configuration updates,  </t>
  </si>
  <si>
    <t>DT: 0x05011F02</t>
  </si>
  <si>
    <t>GzipDecodingOutBufferMultiplier</t>
  </si>
  <si>
    <t>Rel-8 FGI</t>
  </si>
  <si>
    <t>/nv/item_files/modem/lte/rrc/cap/fgi</t>
  </si>
  <si>
    <t>efs</t>
  </si>
  <si>
    <t>Rel-9 FGI</t>
  </si>
  <si>
    <t>/nv/item_files/modem/lte/rrc/cap/fgi_rel9</t>
  </si>
  <si>
    <t>Rel-10 FGI</t>
  </si>
  <si>
    <t>/nv/item_files/modem/lte/rrc/cap/fgi_r10</t>
  </si>
  <si>
    <t>PDP Profile 3</t>
  </si>
  <si>
    <t>modem_proc\mcfg\mcfg_gen\scripts\data\efs_files\dt\profile3</t>
  </si>
  <si>
    <t>DT: 0x05011F03</t>
  </si>
  <si>
    <t>AC</t>
  </si>
  <si>
    <t>DT: 0x05011F04</t>
  </si>
  <si>
    <t>AS</t>
  </si>
  <si>
    <t xml:space="preserve">IMS updates 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</si>
  <si>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</si>
  <si>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</si>
  <si>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</si>
  <si>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</si>
  <si>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</si>
  <si>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</si>
  <si>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</si>
  <si>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</si>
  <si>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</si>
  <si>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multitask_mode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</si>
  <si>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</si>
  <si>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</si>
  <si>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</si>
  <si>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</si>
  <si>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</si>
  <si>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</si>
  <si>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</si>
  <si>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</si>
  <si>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</si>
  <si>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</si>
  <si>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</si>
  <si>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</si>
  <si>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</si>
  <si>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</si>
  <si>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</si>
  <si>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</si>
  <si>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</si>
  <si>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</si>
  <si>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</si>
  <si>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</si>
  <si>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</si>
  <si>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</si>
  <si>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</si>
  <si>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</si>
  <si>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</si>
  <si>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DT: 0x05011F05</t>
  </si>
  <si>
    <t>AP</t>
  </si>
  <si>
    <t>QIPCall RTP Link Alivness Timer</t>
  </si>
  <si>
    <t>/nv/item_files/ims/qipcall_rtp_link_aliveness_timer</t>
  </si>
  <si>
    <t>IMS updates :As per the spreadsheet provided by RamJ</t>
  </si>
  <si>
    <t>NV67282.Qipcall  RTP Link Aliveness Timer = 20</t>
  </si>
  <si>
    <t>DT: 0x05011F06</t>
  </si>
  <si>
    <t>mmisa</t>
  </si>
  <si>
    <t>UE Based Call Waiting</t>
  </si>
  <si>
    <t>/nv/item_files/modem/mmode/ue_based_cw</t>
  </si>
  <si>
    <t>use_ue_based_cw</t>
  </si>
  <si>
    <t>is_enabled</t>
  </si>
  <si>
    <t>NV71527 removed apn name
NV 10 mode = 21
NV67348 EnableRTCPforActiveVOIPCall = 1
NV73538 = 1,1</t>
  </si>
  <si>
    <t>Configure attach profile list</t>
  </si>
  <si>
    <t>/data/ds_dsd_attach_profile.txt</t>
  </si>
  <si>
    <t>modem_proc\mcfg\mcfg_gen\scripts\data\efs_files\dt\ds_dsd_attach_profile.txt</t>
  </si>
  <si>
    <t>PDP Profile 1</t>
  </si>
  <si>
    <t>PDP Profile 2</t>
  </si>
  <si>
    <t>modem_proc\mcfg\mcfg_gen\scripts\data\efs_files\dt\profile1</t>
  </si>
  <si>
    <t>modem_proc\mcfg\mcfg_gen\scripts\data\efs_files\dt\profile2</t>
  </si>
  <si>
    <t>NULL Profile</t>
  </si>
  <si>
    <t>at+cgdcont=1,"IP","internet.telekom.de"
at$qcpdpimscfge=1,0,0,0</t>
  </si>
  <si>
    <t>DT: 0x05011F07</t>
  </si>
  <si>
    <t>DT: 0x05011F08</t>
  </si>
  <si>
    <t>Added ds_dsd_attach_profile.txt and pdp profile 1&amp;2</t>
  </si>
  <si>
    <t>Set Internet APN name to internet.telekom</t>
  </si>
  <si>
    <t>DT: 0x05011F09</t>
  </si>
  <si>
    <t>DT: 0x05011F0A</t>
  </si>
  <si>
    <t>as</t>
  </si>
  <si>
    <t>GROUP:IMS</t>
  </si>
  <si>
    <t>iUtRetryTimerValue</t>
  </si>
  <si>
    <t>iUtAPNType</t>
  </si>
  <si>
    <t>IMS Media Config</t>
  </si>
  <si>
    <t>/nv/item_files/ims/qp_ims_media_config</t>
  </si>
  <si>
    <t>iwlan_s2b_config.txt</t>
  </si>
  <si>
    <t>/data/iwlan_s2b_config.txt</t>
  </si>
  <si>
    <t>modem_proc\mcfg\mcfg_gen\scripts\data\efs_files\dt\iwlan_s2b_config.txt</t>
  </si>
  <si>
    <t>Bulk IMS updates
Removed Profile4</t>
  </si>
  <si>
    <t>kavik</t>
  </si>
  <si>
    <t>DT:0x05011F0B</t>
  </si>
  <si>
    <t>IMS DSCP Configurations update</t>
  </si>
  <si>
    <t>pbm_hardcoded_ecc_list</t>
  </si>
  <si>
    <t>DT:0x05011F0C</t>
  </si>
  <si>
    <t>PBM Hardcoded ECC Config</t>
  </si>
  <si>
    <t>/nv/item_files/pbm/pbm_hardcoded_ecc_config</t>
  </si>
  <si>
    <t>PBM Hardcoded ECC Numbers</t>
  </si>
  <si>
    <t>/nv/item_files/pbm/pbm_hardcoded_ecc_list</t>
  </si>
  <si>
    <t>modem_proc\mcfg\mcfg_gen\scripts\data\efs_files\dt\pbm_hardcoded_ecc_config</t>
  </si>
  <si>
    <t>modem_proc\mcfg\mcfg_gen\scripts\data\efs_files\dt\pbm_hardcoded_ecc_list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</si>
  <si>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</si>
  <si>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</si>
  <si>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</si>
  <si>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</si>
  <si>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</si>
  <si>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</si>
  <si>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/Data_Profiles/Profile1</t>
  </si>
  <si>
    <t>0x19</t>
  </si>
  <si>
    <t>/Data_Profiles/Profile2</t>
  </si>
  <si>
    <t>/Data_Profiles/Profile3</t>
  </si>
  <si>
    <t>All configs</t>
  </si>
  <si>
    <t>Updated all profiles to be multiSIM efs type</t>
  </si>
  <si>
    <t>DT:0x05011F0E</t>
  </si>
  <si>
    <t>default_andsf.xml</t>
  </si>
  <si>
    <t>/data/default_andsf.xml</t>
  </si>
  <si>
    <t>modem_proc\mcfg\mcfg_gen\scripts\data\efs_files\dt\default_andsf.xml</t>
  </si>
  <si>
    <t>ANDSF settings</t>
  </si>
  <si>
    <t>andsf.xml</t>
  </si>
  <si>
    <t>/data/andsf.xml</t>
  </si>
  <si>
    <t>modem_proc\mcfg\mcfg_gen\scripts\data\efs_files\dt\andsf.xml</t>
  </si>
  <si>
    <t>ds_andsf_config.txt</t>
  </si>
  <si>
    <t>/data/ds_andsf_config.txt</t>
  </si>
  <si>
    <t>modem_proc\mcfg\mcfg_gen\scripts\data\efs_files\dt\ds_andsf_config.txt</t>
  </si>
  <si>
    <t xml:space="preserve">DT updates </t>
  </si>
  <si>
    <t xml:space="preserve">
Update iwlan_s2b_config.txt                                                         remove pdn_policy_db.txt                                                             add andsf files</t>
  </si>
  <si>
    <t>DT:0x05011F0F</t>
  </si>
  <si>
    <t>c_vjhunj</t>
  </si>
  <si>
    <t>Embedded Profile Num</t>
  </si>
  <si>
    <t>/pdp_profiles/embedded_call_prof_num</t>
  </si>
  <si>
    <t>modem_proc\mcfg\mcfg_gen\scripts\data\efs_files\dt\embedded_call_prof_num</t>
  </si>
  <si>
    <t>Tethered Call Profile Num</t>
  </si>
  <si>
    <t>/pdp_profiles/tethered_call_prof_num</t>
  </si>
  <si>
    <t>modem_proc\mcfg\mcfg_gen\scripts\data\efs_files\dt\tethered_call_prof_num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</si>
  <si>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</si>
  <si>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</si>
  <si>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</si>
  <si>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</si>
  <si>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</si>
  <si>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</si>
  <si>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0x400</t>
  </si>
  <si>
    <t>Timer_Vzw</t>
  </si>
  <si>
    <t>ims_operation_mode</t>
  </si>
  <si>
    <t>video</t>
  </si>
  <si>
    <t>SRVCC bitmask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</si>
  <si>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</si>
  <si>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</si>
  <si>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</si>
  <si>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</si>
  <si>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</si>
  <si>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</si>
  <si>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</si>
  <si>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</si>
  <si>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</si>
  <si>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</si>
  <si>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</si>
  <si>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</si>
  <si>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</si>
  <si>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</si>
  <si>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</si>
  <si>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</si>
  <si>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</si>
  <si>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</si>
  <si>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</si>
  <si>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</si>
  <si>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</si>
  <si>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</si>
  <si>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</si>
  <si>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</si>
  <si>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</si>
  <si>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/>
  </si>
  <si>
    <t>gmin</t>
  </si>
  <si>
    <t>tx_system_delay</t>
  </si>
  <si>
    <t>rx_system_delay</t>
  </si>
  <si>
    <t>0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</si>
  <si>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</si>
  <si>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</si>
  <si>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</si>
  <si>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</si>
  <si>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</si>
  <si>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</si>
  <si>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</si>
  <si>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</si>
  <si>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</si>
  <si>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</si>
  <si>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</si>
  <si>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</si>
  <si>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</si>
  <si>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</si>
  <si>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
1 - on, 0 - off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</si>
  <si>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</si>
  <si>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</si>
  <si>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</si>
  <si>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</si>
  <si>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</si>
  <si>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</si>
  <si>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</si>
  <si>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</si>
  <si>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</si>
  <si>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</si>
  <si>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QIPCall Callerid Mode</t>
  </si>
  <si>
    <t>/nv/item_files/ims/qipcall_callerid_mode</t>
  </si>
  <si>
    <t xml:space="preserve">qipcall_callerid_mode </t>
  </si>
  <si>
    <t>VOIP</t>
  </si>
  <si>
    <t>QIPCall Is Conference Aware Mode</t>
  </si>
  <si>
    <t>/nv/item_files/ims/qipcall_is_conference_aware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</si>
  <si>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</si>
  <si>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</si>
  <si>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</si>
  <si>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</si>
  <si>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</si>
  <si>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</si>
  <si>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</si>
  <si>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</si>
  <si>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</si>
  <si>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</si>
  <si>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</si>
  <si>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</si>
  <si>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</si>
  <si>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</si>
  <si>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</si>
  <si>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</si>
  <si>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qipcall_signal_strength_threshold</t>
  </si>
  <si>
    <t>/nv/item_files/ims/qipcall_signal_strength_threshold</t>
  </si>
  <si>
    <t>IMS VT 4G Media Capability</t>
  </si>
  <si>
    <t>/nv/item_files/ims/qp_ims_vt_4G_media_capability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</si>
  <si>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</si>
  <si>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</si>
  <si>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</si>
  <si>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</si>
  <si>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</si>
  <si>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</si>
  <si>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</si>
  <si>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</si>
  <si>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</si>
  <si>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</si>
  <si>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</si>
  <si>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</si>
  <si>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</si>
  <si>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</si>
  <si>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</si>
  <si>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</si>
  <si>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</si>
  <si>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</si>
  <si>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</si>
  <si>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</si>
  <si>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</si>
  <si>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</si>
  <si>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</si>
  <si>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</si>
  <si>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</si>
  <si>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</si>
  <si>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</si>
  <si>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</si>
  <si>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</si>
  <si>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</si>
  <si>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</si>
  <si>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IMS RCS Auto-Config Parameters</t>
  </si>
  <si>
    <t>/nv/item_files/ims/qp_ims_rcs_auto_config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</si>
  <si>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</si>
  <si>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</si>
  <si>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</si>
  <si>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</si>
  <si>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</si>
  <si>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</si>
  <si>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</si>
  <si>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</si>
  <si>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</si>
  <si>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</si>
  <si>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</si>
  <si>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</si>
  <si>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</si>
  <si>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</si>
  <si>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</si>
  <si>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</si>
  <si>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</si>
  <si>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</si>
  <si>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</si>
  <si>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</si>
  <si>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</si>
  <si>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</si>
  <si>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</si>
  <si>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</si>
  <si>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</si>
  <si>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</si>
  <si>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71542 This NV is only applicable to MPSS NI 6.1 and newer and DI 1.x and newer</t>
  </si>
  <si>
    <t>IMS Cell ID</t>
  </si>
  <si>
    <t>QIPCall QOS Config</t>
  </si>
  <si>
    <t>LocalQoSVideo</t>
  </si>
  <si>
    <t>QoSInactiveInvite &lt; version 1 &gt;</t>
  </si>
  <si>
    <t>QoSInactiveReInvite &lt; version 1 &gt;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</si>
  <si>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</si>
  <si>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</si>
  <si>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</si>
  <si>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</si>
  <si>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</si>
  <si>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</si>
  <si>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imshandoverconfig</t>
  </si>
  <si>
    <t>/efsprofiles/imshandoverconfig</t>
  </si>
  <si>
    <t>modem_proc\mcfg\mcfg_gen\scripts\data\efs_files\dt\imshandoverconfig</t>
  </si>
  <si>
    <t>Update IMS DT NV's</t>
  </si>
  <si>
    <t>DT:0x05011F10</t>
  </si>
  <si>
    <t>c_suvarn</t>
  </si>
  <si>
    <t>TCP threshold updated to 1500</t>
  </si>
  <si>
    <t>DT:0x05011F11</t>
  </si>
  <si>
    <t>npalani</t>
  </si>
  <si>
    <t>Commercial-DT-NoV</t>
  </si>
  <si>
    <t>Commercial-DT-VOLTE</t>
  </si>
  <si>
    <t>DT_VoLTE</t>
  </si>
  <si>
    <t>DT_NoN_VOLTE</t>
  </si>
  <si>
    <t>MCFG Updates</t>
  </si>
  <si>
    <t>Created non volte DT mbn</t>
  </si>
  <si>
    <t>Non_VoLTE-Commercial:0x05011F00
VoLTE-Commercial:0x05011F10</t>
  </si>
  <si>
    <t>IMS Regmanager Extended Configuration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</si>
  <si>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</si>
  <si>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</si>
  <si>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</si>
  <si>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</si>
  <si>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</si>
  <si>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</si>
  <si>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</si>
  <si>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</si>
  <si>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NV 70235</t>
  </si>
  <si>
    <t>VoLTE-Commercial:0x05011F11</t>
  </si>
  <si>
    <t>hmohan</t>
  </si>
  <si>
    <t>subs_mask</t>
  </si>
  <si>
    <t>Non_VoLTE-Commercial:0x05011F01
VoLTE-Commercial:0x05011F12</t>
  </si>
  <si>
    <t>Reopened for the attribute value change</t>
  </si>
  <si>
    <t>NV850 Removed</t>
  </si>
  <si>
    <t>Non_VoLTE-Commercial:0x05011F02
VoLTE-Commercial:0x05011F13</t>
  </si>
  <si>
    <t>c_vsreen</t>
  </si>
  <si>
    <t>NV65778 Removed</t>
  </si>
  <si>
    <t>Non_VoLTE-Commercial:0x05011F03
VoLTE-Commercial:0x05011F14</t>
  </si>
  <si>
    <t>c_rafis</t>
  </si>
  <si>
    <t>dg</t>
  </si>
  <si>
    <t>NV 00911, 03629 and 04209 removed</t>
  </si>
  <si>
    <t>Non_VoLTE-Commercial:0x05011F04
VoLTE-Commercial:0x05011F15</t>
  </si>
  <si>
    <t>DT-CZECH-VOLTE</t>
  </si>
  <si>
    <t>DT_CZECH</t>
  </si>
  <si>
    <t>DT CZECH VOLTE Qualcomm</t>
  </si>
  <si>
    <t>modem_proc\mcfg\mcfg_gen\scripts\data\efs_files\dt_czech\ds_dsd_attach_profile.txt</t>
  </si>
  <si>
    <t>modem_proc\mcfg\mcfg_gen\scripts\data\efs_files\dt_czech\embedded_call_prof_num</t>
  </si>
  <si>
    <t>modem_proc\mcfg\mcfg_gen\scripts\data\efs_files\dt_czech\tethered_call_prof_num</t>
  </si>
  <si>
    <t>modem_proc\mcfg\mcfg_gen\scripts\data\efs_files\dt_czech\profile1</t>
  </si>
  <si>
    <t>modem_proc\mcfg\mcfg_gen\scripts\data\efs_files\dt_czech\profile2</t>
  </si>
  <si>
    <t>modem_proc\mcfg\mcfg_gen\scripts\data\efs_files\dt_czech\profile3</t>
  </si>
  <si>
    <t>modem_proc\mcfg\mcfg_gen\scripts\data\efs_files\dt_czech\fgi</t>
  </si>
  <si>
    <t>modem_proc\mcfg\mcfg_gen\scripts\data\efs_files\dt_czech\fgi_rel9</t>
  </si>
  <si>
    <t>modem_proc\mcfg\mcfg_gen\scripts\data\efs_files\dt_czech\fgi_r10</t>
  </si>
  <si>
    <t>modem_proc\mcfg\mcfg_gen\scripts\data\efs_files\dt_czech\iwlan_s2b_config.txt</t>
  </si>
  <si>
    <t>modem_proc\mcfg\mcfg_gen\scripts\data\efs_files\dt_czech\default_andsf.xml</t>
  </si>
  <si>
    <t>modem_proc\mcfg\mcfg_gen\scripts\data\efs_files\dt_czech\andsf.xml</t>
  </si>
  <si>
    <t>modem_proc\mcfg\mcfg_gen\scripts\data\efs_files\dt_czech\ds_andsf_config.txt</t>
  </si>
  <si>
    <t>modem_proc\mcfg\mcfg_gen\scripts\data\efs_files\dt_czech\imshandoverconfig</t>
  </si>
  <si>
    <t>modem_proc\mcfg\mcfg_gen\scripts\data\efs_files\dt_czech\pbm_hardcoded_ecc_config</t>
  </si>
  <si>
    <t>modem_proc\mcfg\mcfg_gen\scripts\data\efs_files\dt_czech\pbm_hardcoded_ecc_list</t>
  </si>
  <si>
    <t>DT-CZECH new MBN creation reference from DT-VoLTE</t>
  </si>
  <si>
    <t>VoLTE-Commercial:0x05011F15</t>
  </si>
  <si>
    <t>venkat</t>
  </si>
  <si>
    <t>Commercial-Non_VoLTE</t>
  </si>
  <si>
    <t>Commercial-VoLTE</t>
  </si>
  <si>
    <t>CZech-VoLTE</t>
  </si>
  <si>
    <t>DT all config updates</t>
  </si>
  <si>
    <t>Enable DCHAUPA by removing WCDMA NVs 03851, 05090, 65693, 04261</t>
  </si>
  <si>
    <t>Commercial-Non_VOLTE: 0x05011F05
Commercial-VOLTE:0x05011F16
Czech-VOLTE:0x05011F21</t>
  </si>
  <si>
    <t>manishk</t>
  </si>
  <si>
    <t>DT updates</t>
  </si>
  <si>
    <t>NV-73538, 73545 and 71554 remove</t>
  </si>
  <si>
    <t>Commercial-Non_VOLTE: 0x05011F06</t>
  </si>
  <si>
    <t>Commercial-Non_VOLTE: 0x05011F07</t>
  </si>
  <si>
    <t>NV-66048 and 70239 update</t>
  </si>
  <si>
    <t>Commercial-Non_VOLTE: 0x05011F08
Commercial-VOLTE:0x05011F17</t>
  </si>
  <si>
    <t>NVs- 4228, 4229, 10, 3532, 3533 and 67275 Remove</t>
  </si>
  <si>
    <t>Updated NV 66472 value as 0</t>
  </si>
  <si>
    <t xml:space="preserve">Commercial-Non_VOLTE: 0x05011F09
</t>
  </si>
  <si>
    <t>Commercial-Non_VoLTE Updates</t>
  </si>
  <si>
    <t>/data/ds_eps_kamgr_pdn.txt</t>
  </si>
  <si>
    <t>modem_proc\mcfg\mcfg_gen\scripts\data\efs_files\dt_czech\ds_eps_kamgr_pdn.txt</t>
  </si>
  <si>
    <t>Configure eps pdn</t>
  </si>
  <si>
    <t>PDP Profile 4</t>
  </si>
  <si>
    <t>/Data_Profiles/Profile4</t>
  </si>
  <si>
    <t>modem_proc\mcfg\mcfg_gen\scripts\data\efs_files\dt_czech\profile4</t>
  </si>
  <si>
    <t>at+cgdcont=3,"IPv4v6","ims"
at$qcpdpimscfge=3,1,0,0</t>
  </si>
  <si>
    <t>at+cgdcont=2,"IP","internet.t-mobile.cz"
at$qcpdpimscfge=2,0,0,0</t>
  </si>
  <si>
    <t>at+cgdcont=4,"IPv4v6","HOS"
at$qcpdpimscfge=4,0,0,0</t>
  </si>
  <si>
    <t>FR 31724: DT Czech Republic MBN support with IMS/VoLTE</t>
  </si>
  <si>
    <t>Added profile4, eps_kmagr_pdn file and modified profle3, iwlan_s2b</t>
  </si>
  <si>
    <t xml:space="preserve">Czech-VOLTE:0x05011F22
</t>
  </si>
  <si>
    <t>kbaig</t>
  </si>
  <si>
    <t>qp_ims_emerg_wifi_disable</t>
  </si>
  <si>
    <t>/nv/item_files/ims/qp_ims_emerg_wifi_disable</t>
  </si>
  <si>
    <t>Commercial-VoLTE Updates</t>
  </si>
  <si>
    <t>Added NV 73717/qp_ims_emerg_wifi_disable=0</t>
  </si>
  <si>
    <t>Commercial-VOLTE:0x05011F18</t>
  </si>
  <si>
    <t>c_vvadla</t>
  </si>
  <si>
    <t>0x440</t>
  </si>
  <si>
    <t>NV 71527 and 67259 modified</t>
  </si>
  <si>
    <t>Commercial-VOLTE:0x05011F19</t>
  </si>
  <si>
    <t>0x0F</t>
  </si>
  <si>
    <t>NV6850 Update</t>
  </si>
  <si>
    <t>Commercial-Non_VOLTE: 0x05011F0A
Commercial-VOLTE:0x05011F1A</t>
  </si>
  <si>
    <t>Commercial VoLTE updates</t>
  </si>
  <si>
    <t>Updated NV 67348 E911_Call_Timer=20000 &amp; local_upgrade_accept_timer=0</t>
  </si>
  <si>
    <t xml:space="preserve">
Commercial-VOLTE:0x05011F1B</t>
  </si>
  <si>
    <t>OMA_DM_Services_Mask</t>
  </si>
  <si>
    <t>WFC_Status</t>
  </si>
  <si>
    <t>Call ModePreference</t>
  </si>
  <si>
    <t>ims_operation_submode</t>
  </si>
  <si>
    <t>IMS Handover Config</t>
  </si>
  <si>
    <t>/nv/item_files/ims/ims_rat_ho_config</t>
  </si>
  <si>
    <t>ims_ho_hyst_timer_ePDG_LTE</t>
  </si>
  <si>
    <t>ims_ho_hyst_timer_ePDG_1X</t>
  </si>
  <si>
    <t>ims_ho_hyst_timer_ePDG_WiFi</t>
  </si>
  <si>
    <t>ims_ho_enabled</t>
  </si>
  <si>
    <t>reserved_bytes</t>
  </si>
  <si>
    <t>Updated NV 69750 and added NV 73717</t>
  </si>
  <si>
    <t xml:space="preserve">
Commercial-VOLTE:0x05011F1C</t>
  </si>
  <si>
    <t>Updated NV 69750/WFC_Status=0 &amp; Call Mode Preference=0</t>
  </si>
  <si>
    <t xml:space="preserve">
Commercial-VOLTE:0x05011F1D</t>
  </si>
  <si>
    <t>IMS Handover config file updated</t>
  </si>
  <si>
    <t xml:space="preserve">
Commercial-VOLTE:0x05011F1E</t>
  </si>
  <si>
    <t>c_sqadar</t>
  </si>
  <si>
    <t>IMS Handover config file updated - Media metric changes</t>
  </si>
  <si>
    <t>Czech-VOLTE:0x05011F23
Commercial-VOLTE:0x05011F1F</t>
  </si>
  <si>
    <t>Commercial-Non_VOLTE: 0x05011F0B
Commercial-VOLTE:0x05011F10
Czech-VOLTE:0x05011F24</t>
  </si>
  <si>
    <t>Removed NV 3446</t>
  </si>
  <si>
    <t>modem_proc\mcfg\mcfg_gen\scripts\data\efs_files\dt\profile4</t>
  </si>
  <si>
    <t xml:space="preserve"> HOS and Emergency APN profile not set by MBN</t>
  </si>
  <si>
    <t>Commercial-VOLTE:0x05011F11</t>
  </si>
  <si>
    <t>modem_proc\mcfg\mcfg_gen\scripts\data\efs_files\dt\ds_eps_kamgr_pdn.txt</t>
  </si>
  <si>
    <t>Added profile4, profile5, ds_eps_kamgr_pdn.txt and updated profile3</t>
  </si>
  <si>
    <t xml:space="preserve">NV Updates </t>
  </si>
  <si>
    <t>Commercial-VOLTE:0x05011F12
Czech-VOLTE:0x05011F25</t>
  </si>
  <si>
    <t>c_sjamee</t>
  </si>
  <si>
    <t>NV Updates 70202</t>
  </si>
  <si>
    <t xml:space="preserve">Commercial-VOLTE:0x05011F13
</t>
  </si>
  <si>
    <t>c_kdasar</t>
  </si>
  <si>
    <t>RAT_ACQ_ORDER</t>
  </si>
  <si>
    <t>/sd/rat_acq_order</t>
  </si>
  <si>
    <t>modem_proc\mcfg\mcfg_gen\scripts\data\efs_files\dt\rat_acq_order</t>
  </si>
  <si>
    <t>Commercial-Non_VOLTE: 0x05011F0C
Commercial-VOLTE:0x05011F14
Czech-VOLTE:0x05011F26</t>
  </si>
  <si>
    <t>Updated 1016,1017, rat_acq_order</t>
  </si>
  <si>
    <t>Commercial-VOLTE:0x05011F15
Czech-VOLTE:0x05011F27</t>
  </si>
  <si>
    <t>rohitag</t>
  </si>
  <si>
    <t>Updated NV 69744</t>
  </si>
  <si>
    <t>iTimer_TDValue</t>
  </si>
  <si>
    <t>iTimerEmergency_TDValue</t>
  </si>
  <si>
    <t>pWifiRegTimestamp</t>
  </si>
  <si>
    <t>iTimer_Tcall</t>
  </si>
  <si>
    <t>ims handoverconfig updates</t>
  </si>
  <si>
    <t>ims handover config file updates</t>
  </si>
  <si>
    <t xml:space="preserve">Commercial-VOLTE:0x05011F16
</t>
  </si>
  <si>
    <t>MCFG_capability_type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</si>
  <si>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</si>
  <si>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</si>
  <si>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</si>
  <si>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</si>
  <si>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0x00000000</t>
  </si>
  <si>
    <t>Commercial-VoLTE: 0x05011F19</t>
  </si>
  <si>
    <t>NV 67348 IMS QIPCALL Config Items -&gt; SRVCC mid-call_enable set to 1</t>
  </si>
  <si>
    <t>c_amuthe</t>
  </si>
  <si>
    <t>iWFCRoaming</t>
  </si>
  <si>
    <t>VoWifiProvId</t>
  </si>
  <si>
    <t>iBlockRegOverWifiWhileActive1XCall</t>
  </si>
  <si>
    <t>iBlockRegOverWifiWhileActive3GCall</t>
  </si>
  <si>
    <t>CallModePreferenceRoam</t>
  </si>
  <si>
    <t>Update 69750 for DT FR 33411 - wifi calling roam NV69750</t>
  </si>
  <si>
    <t>Commercial-VoLTE: 0x05011F1A</t>
  </si>
  <si>
    <t>internet.telekom</t>
  </si>
  <si>
    <t>Commercial-VoLTE : 0x05011F1B
Czech-VoLTE : 0x05011F2A</t>
  </si>
  <si>
    <t>NV70263 APN name</t>
  </si>
  <si>
    <t>NV updates</t>
  </si>
  <si>
    <t>Commercial-VoLTE: 0x05011F1C</t>
  </si>
  <si>
    <t>LTE timer update in imshandoverconfig for ROW operators</t>
  </si>
  <si>
    <t xml:space="preserve">Commercial-VOLTE:0x05011F1D
</t>
  </si>
  <si>
    <t xml:space="preserve">Updated NV 67280,67281 </t>
  </si>
  <si>
    <t xml:space="preserve">Commercial-VOLTE:0x05011F1E
</t>
  </si>
  <si>
    <t xml:space="preserve">Updated NV 67348,71527 </t>
  </si>
  <si>
    <t xml:space="preserve">Commercial-VOLTE:0x05011F1F
</t>
  </si>
  <si>
    <t>[FT EU][MSM8996.2.0] DT Germany - /data/iwlan_s2b_config.txt - epdg_fqdn,  NAT keepalive and pcscf ipv6 and ipv4 attributes</t>
  </si>
  <si>
    <t>iwlan_s2b file updates</t>
  </si>
  <si>
    <t xml:space="preserve">Commercial-VOLTE:0x05011F20
Commercial-Non_VOLTE: 0x05011F0F
</t>
  </si>
  <si>
    <t>LTE Band Preference</t>
  </si>
  <si>
    <t>/nv/item_files/modem/mmode/lte_bandpref</t>
  </si>
  <si>
    <t>0x20000908DF</t>
  </si>
  <si>
    <t>LTE Band Pref</t>
  </si>
  <si>
    <t xml:space="preserve">
Commercial-Non_VOLTE: 0x05011F10
Commercial-VOLTE:0x05011F21
CZech-VoLTE: 0x05011F2B</t>
  </si>
  <si>
    <t>NV-65633 Added</t>
  </si>
  <si>
    <t>at+cgdcont=2,"IPv4v6","ims"</t>
  </si>
  <si>
    <t>at+cgdcont=3,"IPv4v6","hos"</t>
  </si>
  <si>
    <t>at+cgdcont=3,"IPv4v6","sos"</t>
  </si>
  <si>
    <t>Profiles update</t>
  </si>
  <si>
    <t xml:space="preserve">
Commercial-Non_VOLTE: 0x05011F11
Commercial-VOLTE:0x05011F22
</t>
  </si>
  <si>
    <t>vikasjhu</t>
  </si>
  <si>
    <t>/nv/item_files/modem/nas/nas_srvcc_support</t>
  </si>
  <si>
    <t>MCFG Updates for DT</t>
  </si>
  <si>
    <t>NV 71527 ims_rat_apn_info[9].iRAT changed to 272.</t>
  </si>
  <si>
    <t xml:space="preserve">
Commercial-VOLTE:0x05011F23
</t>
  </si>
  <si>
    <t>c_Sqadar</t>
  </si>
  <si>
    <t xml:space="preserve">Commercial-VOLTE:0x05011F24                                                   CZech-VoLTE: 0x05011F2D
</t>
  </si>
  <si>
    <t xml:space="preserve">Commercial-VOLTE:0x05011F25                                                   CZech-VoLTE: 0x05011F2E
</t>
  </si>
  <si>
    <t>vailani</t>
  </si>
  <si>
    <t>Commercial-VoLTE: 0x05011F26</t>
  </si>
  <si>
    <t>NV 71527: ims_rat_apn_info[0].iIMSServiceInfo, ims_rat_apn_info[9].iIMSServiceInfo set to 7</t>
  </si>
  <si>
    <t xml:space="preserve">Commercial-VOLTE:0x05011F27                                                   CZech-VoLTE: 0x05011F2F
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</si>
  <si>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</si>
  <si>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</si>
  <si>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</si>
  <si>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</si>
  <si>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</si>
  <si>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</si>
  <si>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</si>
  <si>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NV 69750: iBlockRegOverWiFiWhileActive3Gcall set to 1</t>
  </si>
  <si>
    <t>Commercial-VoLTTE: 0x05011F11</t>
  </si>
  <si>
    <t>894901, 894902, 894903, 8988228</t>
  </si>
  <si>
    <t>2nd round of IIN &amp; PLMN updates in EU configs</t>
  </si>
  <si>
    <t>Commercial-VoLTTE: 0x05011F12</t>
  </si>
  <si>
    <t>Commerical-VoLTE: 0x05011F13</t>
  </si>
  <si>
    <t>MCFG_Attribute is set to 0x19 for IMS NVs</t>
  </si>
  <si>
    <t>NV 73713 changed from 1 to 0</t>
  </si>
  <si>
    <t>Commerical-VoLTE: 0x05011F14</t>
  </si>
  <si>
    <t>[FT EU][TA.2.3] - DT- Add epdg_plmn_list to enable VoWiFi in roaming</t>
  </si>
  <si>
    <t xml:space="preserve">Commerical-VoLTE: 0x05011F15                                               CZech-VoLTE: 0x05011F21
</t>
  </si>
  <si>
    <t>mmtel@conf-factory.ims.mnc001.mcc230.3gppnetwork.org</t>
  </si>
  <si>
    <t>ims_drvcc_enable</t>
  </si>
  <si>
    <t>ims_drvcc_roaming_enabled</t>
  </si>
  <si>
    <t>ims_drvcc_backoff_timer_max</t>
  </si>
  <si>
    <t>ims_drvcc_backoff_timer_min</t>
  </si>
  <si>
    <t>ims_stn</t>
  </si>
  <si>
    <t>ims_ho_lte_qual_th1</t>
  </si>
  <si>
    <t>ims_ho_lte_qual_th2</t>
  </si>
  <si>
    <t>ims_ho_lte_qual_th3</t>
  </si>
  <si>
    <t>ims_ho_1x_qual_th</t>
  </si>
  <si>
    <t>ims_ho_wifi_qual_thA</t>
  </si>
  <si>
    <t>ims_ho_wifi_qual_thB</t>
  </si>
  <si>
    <t>ims_ho_wifi_connectivity_backoff_timer</t>
  </si>
  <si>
    <t>ims_ho_midcall_connectivity_timer</t>
  </si>
  <si>
    <t>ims_ho_RTT_threshold</t>
  </si>
  <si>
    <t>internet.t-mobile.cz</t>
  </si>
  <si>
    <t>iUtIPAddrType_APN2</t>
  </si>
  <si>
    <t>hos</t>
  </si>
  <si>
    <t>utAPNName_APN2</t>
  </si>
  <si>
    <t xml:space="preserve">eEnableReregOn2G3G 
</t>
  </si>
  <si>
    <t>MCFG_IMS: IMS NV Update for DT-CZ MBN.</t>
  </si>
  <si>
    <t xml:space="preserve">CZech-VoLTE: 0x05011F22
</t>
  </si>
  <si>
    <t>230-01</t>
  </si>
  <si>
    <t>262-01</t>
  </si>
  <si>
    <t>0x05011F01</t>
  </si>
  <si>
    <t>0x05011F26</t>
  </si>
  <si>
    <t>0x05011F43</t>
  </si>
  <si>
    <t>Commercial-Non_VoLTE:0x05011F01
Commercial-VoLTE:0x05011F26
CZech-VoLTE:0x05011F43</t>
  </si>
  <si>
    <t>Kavik</t>
  </si>
  <si>
    <t>update the ICCID/IMSI of DT_CZECH/DT_Germany/DT_NON_VoLTE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</si>
</sst>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[$-409]mmmm\ d\,\ yyyy;@"/>
    <numFmt numFmtId="165" formatCode="_-&quot;F&quot;* #,##0_-;\-&quot;F&quot;* #,##0_-;_-&quot;F&quot;* &quot;-&quot;_-;_-@_-"/>
    <numFmt numFmtId="166" formatCode="_-&quot;F&quot;* #,##0.00_-;\-&quot;F&quot;* #,##0.00_-;_-&quot;F&quot;* &quot;-&quot;??_-;_-@_-"/>
  </numFmts>
  <fonts count="91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10"/>
      <color theme="4"/>
      <name val="Arial"/>
      <family val="2"/>
    </font>
    <font>
      <sz val="12"/>
      <name val="Gill Sans MT"/>
      <family val="2"/>
      <scheme val="minor"/>
    </font>
    <font>
      <sz val="11"/>
      <color rgb="FF000000"/>
      <name val="Gill Sans MT"/>
      <family val="2"/>
      <scheme val="minor"/>
    </font>
    <font>
      <sz val="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1886">
    <xf numFmtId="0" fontId="0" fillId="0" borderId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0" fontId="72" fillId="0" borderId="0"/>
    <xf numFmtId="49" fontId="77" fillId="0" borderId="20" applyNumberFormat="0" applyFont="0" applyFill="0" applyAlignment="0" applyProtection="0">
      <alignment horizontal="center" vertical="center"/>
      <protection locked="0"/>
    </xf>
    <xf numFmtId="0" fontId="60" fillId="5" borderId="0" applyNumberFormat="0" applyBorder="0" applyAlignment="0" applyProtection="0"/>
    <xf numFmtId="0" fontId="60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7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1" fontId="85" fillId="0" borderId="22" applyNumberFormat="0" applyFont="0" applyAlignment="0" applyProtection="0">
      <alignment horizontal="center" vertical="center"/>
      <protection locked="0"/>
    </xf>
    <xf numFmtId="0" fontId="72" fillId="0" borderId="0"/>
    <xf numFmtId="0" fontId="13" fillId="0" borderId="0"/>
    <xf numFmtId="164" fontId="70" fillId="0" borderId="0" applyBorder="0"/>
    <xf numFmtId="164" fontId="86" fillId="0" borderId="0" applyNumberFormat="0" applyFill="0" applyBorder="0" applyAlignment="0" applyProtection="0">
      <alignment vertical="top"/>
      <protection locked="0"/>
    </xf>
    <xf numFmtId="0" fontId="72" fillId="0" borderId="0"/>
    <xf numFmtId="41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0" fontId="77" fillId="8" borderId="23">
      <alignment horizontal="center" vertical="center"/>
    </xf>
    <xf numFmtId="0" fontId="13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0" fontId="72" fillId="7" borderId="21" applyNumberFormat="0" applyFont="0" applyAlignment="0" applyProtection="0"/>
    <xf numFmtId="165" fontId="70" fillId="0" borderId="0" applyFont="0" applyFill="0" applyBorder="0" applyAlignment="0" applyProtection="0"/>
    <xf numFmtId="166" fontId="70" fillId="0" borderId="0" applyFont="0" applyFill="0" applyBorder="0" applyAlignment="0" applyProtection="0"/>
    <xf numFmtId="164" fontId="70" fillId="0" borderId="0" applyBorder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</cellStyleXfs>
  <cellXfs count="190">
    <xf numFmtId="0" fontId="0" fillId="0" borderId="0" xfId="0"/>
    <xf numFmtId="0" fontId="62" fillId="0" borderId="0" xfId="0" applyFont="1"/>
    <xf numFmtId="0" fontId="63" fillId="0" borderId="0" xfId="0" applyFont="1"/>
    <xf numFmtId="0" fontId="64" fillId="0" borderId="0" xfId="0" applyFont="1" applyFill="1" applyAlignment="1">
      <alignment horizontal="right"/>
    </xf>
    <xf numFmtId="0" fontId="63" fillId="0" borderId="7" xfId="0" applyFont="1" applyBorder="1" applyAlignment="1">
      <alignment horizontal="left" indent="1"/>
    </xf>
    <xf numFmtId="0" fontId="62" fillId="2" borderId="6" xfId="0" applyFont="1" applyFill="1" applyBorder="1" applyAlignment="1">
      <alignment horizontal="center"/>
    </xf>
    <xf numFmtId="0" fontId="65" fillId="0" borderId="0" xfId="0" applyFont="1" applyFill="1" applyAlignment="1">
      <alignment horizontal="left"/>
    </xf>
    <xf numFmtId="0" fontId="66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9" fillId="0" borderId="7" xfId="0" applyFont="1" applyBorder="1" applyAlignment="1">
      <alignment horizontal="left" indent="1"/>
    </xf>
    <xf numFmtId="0" fontId="64" fillId="0" borderId="0" xfId="0" applyFont="1" applyAlignment="1">
      <alignment horizontal="right"/>
    </xf>
    <xf numFmtId="0" fontId="70" fillId="0" borderId="0" xfId="0" applyFont="1" applyBorder="1"/>
    <xf numFmtId="0" fontId="62" fillId="0" borderId="0" xfId="0" applyFont="1" applyAlignment="1">
      <alignment horizontal="left" indent="1"/>
    </xf>
    <xf numFmtId="0" fontId="65" fillId="4" borderId="2" xfId="0" applyFont="1" applyFill="1" applyBorder="1" applyAlignment="1">
      <alignment horizontal="centerContinuous"/>
    </xf>
    <xf numFmtId="14" fontId="78" fillId="0" borderId="0" xfId="0" applyNumberFormat="1" applyFont="1" applyFill="1" applyAlignment="1">
      <alignment horizontal="left" indent="1"/>
    </xf>
    <xf numFmtId="0" fontId="78" fillId="0" borderId="0" xfId="0" applyFont="1" applyFill="1" applyAlignment="1">
      <alignment horizontal="left" indent="1"/>
    </xf>
    <xf numFmtId="0" fontId="69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8" fillId="0" borderId="0" xfId="0" applyFont="1" applyAlignment="1"/>
    <xf numFmtId="0" fontId="0" fillId="0" borderId="0" xfId="0" applyAlignment="1"/>
    <xf numFmtId="0" fontId="62" fillId="0" borderId="0" xfId="0" applyFont="1" applyAlignment="1"/>
    <xf numFmtId="0" fontId="62" fillId="0" borderId="0" xfId="0" applyFont="1"/>
    <xf numFmtId="0" fontId="63" fillId="0" borderId="7" xfId="0" applyFont="1" applyBorder="1" applyAlignment="1">
      <alignment horizontal="left" indent="1"/>
    </xf>
    <xf numFmtId="0" fontId="70" fillId="0" borderId="0" xfId="0" applyFont="1"/>
    <xf numFmtId="0" fontId="0" fillId="0" borderId="0" xfId="0" applyFont="1"/>
    <xf numFmtId="0" fontId="69" fillId="0" borderId="0" xfId="0" applyFont="1" applyBorder="1" applyAlignment="1">
      <alignment horizontal="left" indent="1"/>
    </xf>
    <xf numFmtId="0" fontId="65" fillId="4" borderId="2" xfId="0" applyFont="1" applyFill="1" applyBorder="1" applyAlignment="1">
      <alignment horizontal="centerContinuous"/>
    </xf>
    <xf numFmtId="0" fontId="70" fillId="0" borderId="0" xfId="0" applyFont="1" applyFill="1"/>
    <xf numFmtId="0" fontId="76" fillId="0" borderId="0" xfId="0" applyFont="1"/>
    <xf numFmtId="0" fontId="67" fillId="3" borderId="0" xfId="0" applyFont="1" applyFill="1" applyAlignment="1">
      <alignment horizontal="centerContinuous" vertical="center"/>
    </xf>
    <xf numFmtId="0" fontId="0" fillId="0" borderId="0" xfId="0"/>
    <xf numFmtId="0" fontId="63" fillId="0" borderId="0" xfId="0" applyFont="1"/>
    <xf numFmtId="0" fontId="69" fillId="0" borderId="0" xfId="0" applyFont="1" applyBorder="1"/>
    <xf numFmtId="0" fontId="79" fillId="0" borderId="0" xfId="0" applyFont="1"/>
    <xf numFmtId="0" fontId="80" fillId="2" borderId="9" xfId="0" applyFont="1" applyFill="1" applyBorder="1" applyAlignment="1">
      <alignment horizontal="left" indent="1"/>
    </xf>
    <xf numFmtId="0" fontId="80" fillId="0" borderId="0" xfId="0" applyFont="1"/>
    <xf numFmtId="0" fontId="70" fillId="0" borderId="0" xfId="0" applyFont="1" applyAlignment="1">
      <alignment horizontal="left" indent="1"/>
    </xf>
    <xf numFmtId="0" fontId="70" fillId="0" borderId="0" xfId="0" applyFont="1" applyAlignment="1">
      <alignment wrapText="1"/>
    </xf>
    <xf numFmtId="0" fontId="81" fillId="4" borderId="5" xfId="0" applyFont="1" applyFill="1" applyBorder="1" applyAlignment="1">
      <alignment horizontal="centerContinuous"/>
    </xf>
    <xf numFmtId="0" fontId="80" fillId="2" borderId="4" xfId="0" applyFont="1" applyFill="1" applyBorder="1" applyAlignment="1">
      <alignment horizontal="left" indent="1"/>
    </xf>
    <xf numFmtId="0" fontId="69" fillId="0" borderId="0" xfId="0" applyFont="1" applyBorder="1" applyAlignment="1">
      <alignment wrapText="1"/>
    </xf>
    <xf numFmtId="0" fontId="69" fillId="0" borderId="14" xfId="0" applyFont="1" applyBorder="1"/>
    <xf numFmtId="0" fontId="69" fillId="0" borderId="2" xfId="0" applyFont="1" applyBorder="1"/>
    <xf numFmtId="0" fontId="80" fillId="2" borderId="16" xfId="0" applyFont="1" applyFill="1" applyBorder="1" applyAlignment="1">
      <alignment horizontal="left" indent="1"/>
    </xf>
    <xf numFmtId="0" fontId="80" fillId="2" borderId="5" xfId="0" applyFont="1" applyFill="1" applyBorder="1" applyAlignment="1">
      <alignment horizontal="left" indent="1"/>
    </xf>
    <xf numFmtId="0" fontId="80" fillId="2" borderId="6" xfId="0" applyFont="1" applyFill="1" applyBorder="1" applyAlignment="1">
      <alignment horizontal="left" indent="1"/>
    </xf>
    <xf numFmtId="0" fontId="80" fillId="2" borderId="5" xfId="0" applyFont="1" applyFill="1" applyBorder="1" applyAlignment="1">
      <alignment horizontal="left" wrapText="1"/>
    </xf>
    <xf numFmtId="0" fontId="82" fillId="4" borderId="3" xfId="0" applyFont="1" applyFill="1" applyBorder="1" applyAlignment="1">
      <alignment horizontal="centerContinuous"/>
    </xf>
    <xf numFmtId="0" fontId="82" fillId="4" borderId="4" xfId="0" applyFont="1" applyFill="1" applyBorder="1" applyAlignment="1">
      <alignment horizontal="centerContinuous"/>
    </xf>
    <xf numFmtId="0" fontId="82" fillId="4" borderId="4" xfId="0" applyFont="1" applyFill="1" applyBorder="1" applyAlignment="1">
      <alignment horizontal="centerContinuous" wrapText="1"/>
    </xf>
    <xf numFmtId="0" fontId="84" fillId="0" borderId="0" xfId="0" applyFont="1"/>
    <xf numFmtId="0" fontId="67" fillId="3" borderId="0" xfId="0" applyFont="1" applyFill="1" applyAlignment="1">
      <alignment horizontal="center" vertical="center"/>
    </xf>
    <xf numFmtId="0" fontId="69" fillId="0" borderId="8" xfId="0" applyFont="1" applyBorder="1" applyAlignment="1">
      <alignment horizontal="left" indent="1"/>
    </xf>
    <xf numFmtId="0" fontId="62" fillId="2" borderId="9" xfId="0" applyFont="1" applyFill="1" applyBorder="1" applyAlignment="1">
      <alignment horizontal="centerContinuous"/>
    </xf>
    <xf numFmtId="0" fontId="76" fillId="0" borderId="0" xfId="0" applyFont="1" applyBorder="1" applyAlignment="1">
      <alignment horizontal="left" indent="1"/>
    </xf>
    <xf numFmtId="0" fontId="80" fillId="2" borderId="16" xfId="0" applyFont="1" applyFill="1" applyBorder="1" applyAlignment="1">
      <alignment horizontal="left" wrapText="1"/>
    </xf>
    <xf numFmtId="0" fontId="80" fillId="2" borderId="5" xfId="0" applyFont="1" applyFill="1" applyBorder="1" applyAlignment="1">
      <alignment horizontal="center"/>
    </xf>
    <xf numFmtId="0" fontId="75" fillId="0" borderId="0" xfId="0" applyFont="1"/>
    <xf numFmtId="0" fontId="0" fillId="0" borderId="0" xfId="0" applyAlignment="1">
      <alignment horizontal="right"/>
    </xf>
    <xf numFmtId="0" fontId="87" fillId="0" borderId="0" xfId="0" applyFont="1"/>
    <xf numFmtId="0" fontId="88" fillId="2" borderId="17" xfId="61882" applyFont="1" applyFill="1" applyBorder="1" applyAlignment="1">
      <alignment horizontal="center" wrapText="1"/>
    </xf>
    <xf numFmtId="0" fontId="72" fillId="0" borderId="0" xfId="0" applyFont="1" applyBorder="1"/>
    <xf numFmtId="0" fontId="73" fillId="2" borderId="17" xfId="0" applyFont="1" applyFill="1" applyBorder="1" applyAlignment="1">
      <alignment horizontal="center" wrapText="1"/>
    </xf>
    <xf numFmtId="0" fontId="70" fillId="0" borderId="0" xfId="0" applyFont="1" applyFill="1" applyBorder="1"/>
    <xf numFmtId="0" fontId="75" fillId="0" borderId="0" xfId="0" applyFont="1" applyFill="1" applyBorder="1"/>
    <xf numFmtId="0" fontId="75" fillId="0" borderId="0" xfId="0" applyFont="1" applyFill="1"/>
    <xf numFmtId="0" fontId="72" fillId="0" borderId="0" xfId="0" applyFont="1" applyFill="1" applyBorder="1"/>
    <xf numFmtId="0" fontId="0" fillId="0" borderId="0" xfId="0" applyFill="1"/>
    <xf numFmtId="0" fontId="73" fillId="2" borderId="17" xfId="61781" applyFont="1" applyFill="1" applyBorder="1" applyAlignment="1">
      <alignment horizontal="center" wrapText="1"/>
    </xf>
    <xf numFmtId="0" fontId="73" fillId="2" borderId="18" xfId="61781" applyFont="1" applyFill="1" applyBorder="1" applyAlignment="1">
      <alignment horizontal="center" wrapText="1"/>
    </xf>
    <xf numFmtId="0" fontId="73" fillId="2" borderId="24" xfId="61781" applyFont="1" applyFill="1" applyBorder="1" applyAlignment="1">
      <alignment horizontal="center" wrapText="1"/>
    </xf>
    <xf numFmtId="0" fontId="73" fillId="2" borderId="17" xfId="61782" applyFont="1" applyFill="1" applyBorder="1" applyAlignment="1">
      <alignment horizontal="center" wrapText="1"/>
    </xf>
    <xf numFmtId="0" fontId="62" fillId="2" borderId="24" xfId="0" applyFont="1" applyFill="1" applyBorder="1" applyAlignment="1">
      <alignment horizontal="left" indent="1"/>
    </xf>
    <xf numFmtId="0" fontId="62" fillId="2" borderId="1" xfId="0" applyFont="1" applyFill="1" applyBorder="1" applyAlignment="1">
      <alignment horizontal="left" indent="1"/>
    </xf>
    <xf numFmtId="0" fontId="62" fillId="2" borderId="15" xfId="0" applyFont="1" applyFill="1" applyBorder="1" applyAlignment="1">
      <alignment horizontal="left" indent="1"/>
    </xf>
    <xf numFmtId="0" fontId="62" fillId="2" borderId="24" xfId="0" applyFont="1" applyFill="1" applyBorder="1" applyAlignment="1">
      <alignment horizontal="left" wrapText="1"/>
    </xf>
    <xf numFmtId="0" fontId="70" fillId="0" borderId="25" xfId="0" applyFont="1" applyBorder="1"/>
    <xf numFmtId="0" fontId="70" fillId="0" borderId="25" xfId="0" applyFont="1" applyBorder="1" applyAlignment="1">
      <alignment horizontal="left" indent="1"/>
    </xf>
    <xf numFmtId="0" fontId="75" fillId="0" borderId="25" xfId="0" applyFont="1" applyBorder="1"/>
    <xf numFmtId="0" fontId="75" fillId="0" borderId="25" xfId="0" applyFont="1" applyFill="1" applyBorder="1" applyAlignment="1">
      <alignment horizontal="left" indent="1"/>
    </xf>
    <xf numFmtId="0" fontId="0" fillId="0" borderId="25" xfId="0" applyBorder="1"/>
    <xf numFmtId="0" fontId="0" fillId="0" borderId="25" xfId="0" applyBorder="1" applyAlignment="1">
      <alignment horizontal="left" indent="1"/>
    </xf>
    <xf numFmtId="0" fontId="70" fillId="0" borderId="27" xfId="0" applyFont="1" applyBorder="1"/>
    <xf numFmtId="0" fontId="70" fillId="0" borderId="27" xfId="0" applyFont="1" applyBorder="1" applyAlignment="1">
      <alignment horizontal="left" indent="1"/>
    </xf>
    <xf numFmtId="0" fontId="70" fillId="2" borderId="28" xfId="0" applyFont="1" applyFill="1" applyBorder="1" applyAlignment="1">
      <alignment wrapText="1"/>
    </xf>
    <xf numFmtId="0" fontId="70" fillId="2" borderId="30" xfId="0" applyFont="1" applyFill="1" applyBorder="1" applyAlignment="1">
      <alignment wrapText="1"/>
    </xf>
    <xf numFmtId="0" fontId="75" fillId="2" borderId="30" xfId="0" applyFont="1" applyFill="1" applyBorder="1" applyAlignment="1">
      <alignment wrapText="1"/>
    </xf>
    <xf numFmtId="0" fontId="0" fillId="2" borderId="30" xfId="0" applyFill="1" applyBorder="1" applyAlignment="1">
      <alignment wrapText="1"/>
    </xf>
    <xf numFmtId="0" fontId="73" fillId="2" borderId="26" xfId="61779" applyFont="1" applyFill="1" applyBorder="1" applyAlignment="1">
      <alignment horizontal="left" indent="1"/>
    </xf>
    <xf numFmtId="0" fontId="70" fillId="2" borderId="27" xfId="0" applyFont="1" applyFill="1" applyBorder="1"/>
    <xf numFmtId="0" fontId="73" fillId="2" borderId="29" xfId="61779" applyFont="1" applyFill="1" applyBorder="1" applyAlignment="1">
      <alignment horizontal="left" indent="1"/>
    </xf>
    <xf numFmtId="0" fontId="70" fillId="2" borderId="25" xfId="0" applyFont="1" applyFill="1" applyBorder="1"/>
    <xf numFmtId="0" fontId="74" fillId="2" borderId="29" xfId="61779" applyFont="1" applyFill="1" applyBorder="1" applyAlignment="1">
      <alignment horizontal="left" indent="1"/>
    </xf>
    <xf numFmtId="0" fontId="75" fillId="2" borderId="25" xfId="0" applyFont="1" applyFill="1" applyBorder="1"/>
    <xf numFmtId="0" fontId="17" fillId="2" borderId="29" xfId="61779" applyFill="1" applyBorder="1" applyAlignment="1">
      <alignment horizontal="left" indent="1"/>
    </xf>
    <xf numFmtId="0" fontId="0" fillId="2" borderId="25" xfId="0" applyFill="1" applyBorder="1"/>
    <xf numFmtId="0" fontId="70" fillId="2" borderId="17" xfId="0" applyFont="1" applyFill="1" applyBorder="1" applyAlignment="1">
      <alignment horizontal="center"/>
    </xf>
    <xf numFmtId="0" fontId="73" fillId="2" borderId="17" xfId="61870" applyFont="1" applyFill="1" applyBorder="1" applyAlignment="1">
      <alignment horizontal="center" wrapText="1"/>
    </xf>
    <xf numFmtId="0" fontId="0" fillId="0" borderId="35" xfId="0" applyFont="1" applyBorder="1" applyAlignment="1">
      <alignment horizontal="left" wrapText="1" indent="1"/>
    </xf>
    <xf numFmtId="0" fontId="0" fillId="0" borderId="11" xfId="0" applyFont="1" applyBorder="1" applyAlignment="1">
      <alignment horizontal="left" wrapText="1" indent="1"/>
    </xf>
    <xf numFmtId="0" fontId="0" fillId="0" borderId="10" xfId="0" applyFont="1" applyBorder="1" applyAlignment="1">
      <alignment horizontal="left" wrapText="1" indent="1"/>
    </xf>
    <xf numFmtId="0" fontId="0" fillId="2" borderId="36" xfId="0" applyFont="1" applyFill="1" applyBorder="1" applyAlignment="1">
      <alignment horizontal="left" wrapText="1" indent="1"/>
    </xf>
    <xf numFmtId="0" fontId="0" fillId="2" borderId="12" xfId="0" applyFont="1" applyFill="1" applyBorder="1" applyAlignment="1">
      <alignment horizontal="left" wrapText="1" indent="1"/>
    </xf>
    <xf numFmtId="0" fontId="0" fillId="2" borderId="13" xfId="0" applyFont="1" applyFill="1" applyBorder="1" applyAlignment="1">
      <alignment horizontal="left" wrapText="1" indent="1"/>
    </xf>
    <xf numFmtId="0" fontId="0" fillId="2" borderId="35" xfId="0" applyFont="1" applyFill="1" applyBorder="1" applyAlignment="1">
      <alignment horizontal="left" wrapText="1" indent="1"/>
    </xf>
    <xf numFmtId="0" fontId="0" fillId="2" borderId="11" xfId="0" applyFont="1" applyFill="1" applyBorder="1" applyAlignment="1">
      <alignment horizontal="left" wrapText="1" indent="1"/>
    </xf>
    <xf numFmtId="0" fontId="0" fillId="2" borderId="10" xfId="0" applyFont="1" applyFill="1" applyBorder="1" applyAlignment="1">
      <alignment horizontal="left" wrapText="1" indent="1"/>
    </xf>
    <xf numFmtId="0" fontId="0" fillId="2" borderId="34" xfId="0" applyFont="1" applyFill="1" applyBorder="1" applyAlignment="1">
      <alignment horizontal="left" wrapText="1" indent="1"/>
    </xf>
    <xf numFmtId="0" fontId="0" fillId="2" borderId="7" xfId="0" applyFont="1" applyFill="1" applyBorder="1" applyAlignment="1">
      <alignment horizontal="left" wrapText="1" indent="1"/>
    </xf>
    <xf numFmtId="0" fontId="0" fillId="2" borderId="8" xfId="0" applyFont="1" applyFill="1" applyBorder="1" applyAlignment="1">
      <alignment horizontal="left" wrapText="1" indent="1"/>
    </xf>
    <xf numFmtId="0" fontId="0" fillId="6" borderId="34" xfId="0" applyFont="1" applyFill="1" applyBorder="1" applyAlignment="1">
      <alignment horizontal="left" wrapText="1"/>
    </xf>
    <xf numFmtId="0" fontId="0" fillId="6" borderId="35" xfId="0" applyFont="1" applyFill="1" applyBorder="1" applyAlignment="1">
      <alignment horizontal="left" wrapText="1"/>
    </xf>
    <xf numFmtId="0" fontId="0" fillId="6" borderId="36" xfId="0" applyFont="1" applyFill="1" applyBorder="1" applyAlignment="1">
      <alignment horizontal="left" wrapText="1"/>
    </xf>
    <xf numFmtId="0" fontId="0" fillId="6" borderId="7" xfId="0" applyFont="1" applyFill="1" applyBorder="1" applyAlignment="1">
      <alignment horizontal="left" wrapText="1"/>
    </xf>
    <xf numFmtId="0" fontId="0" fillId="6" borderId="11" xfId="0" applyFont="1" applyFill="1" applyBorder="1" applyAlignment="1">
      <alignment horizontal="left" wrapText="1"/>
    </xf>
    <xf numFmtId="0" fontId="0" fillId="6" borderId="12" xfId="0" applyFont="1" applyFill="1" applyBorder="1" applyAlignment="1">
      <alignment horizontal="left" wrapText="1"/>
    </xf>
    <xf numFmtId="0" fontId="0" fillId="6" borderId="8" xfId="0" applyFont="1" applyFill="1" applyBorder="1" applyAlignment="1">
      <alignment horizontal="left" wrapText="1"/>
    </xf>
    <xf numFmtId="0" fontId="0" fillId="6" borderId="10" xfId="0" applyFont="1" applyFill="1" applyBorder="1" applyAlignment="1">
      <alignment horizontal="left" wrapText="1"/>
    </xf>
    <xf numFmtId="0" fontId="0" fillId="6" borderId="13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0" fontId="73" fillId="6" borderId="17" xfId="61851" applyFont="1" applyFill="1" applyBorder="1" applyAlignment="1">
      <alignment horizontal="left" indent="1"/>
    </xf>
    <xf numFmtId="0" fontId="70" fillId="6" borderId="11" xfId="0" applyFont="1" applyFill="1" applyBorder="1"/>
    <xf numFmtId="0" fontId="70" fillId="6" borderId="0" xfId="0" applyFont="1" applyFill="1" applyBorder="1"/>
    <xf numFmtId="0" fontId="70" fillId="6" borderId="37" xfId="0" applyFont="1" applyFill="1" applyBorder="1"/>
    <xf numFmtId="0" fontId="73" fillId="9" borderId="17" xfId="61851" applyFont="1" applyFill="1" applyBorder="1" applyAlignment="1">
      <alignment horizontal="center" wrapText="1"/>
    </xf>
    <xf numFmtId="0" fontId="70" fillId="10" borderId="0" xfId="0" applyFont="1" applyFill="1" applyBorder="1"/>
    <xf numFmtId="0" fontId="62" fillId="2" borderId="25" xfId="0" applyFont="1" applyFill="1" applyBorder="1" applyAlignment="1">
      <alignment vertical="center" wrapText="1"/>
    </xf>
    <xf numFmtId="0" fontId="69" fillId="0" borderId="25" xfId="0" applyFont="1" applyFill="1" applyBorder="1" applyAlignment="1">
      <alignment vertical="center" wrapText="1"/>
    </xf>
    <xf numFmtId="14" fontId="69" fillId="0" borderId="25" xfId="0" applyNumberFormat="1" applyFont="1" applyFill="1" applyBorder="1" applyAlignment="1">
      <alignment vertical="center" wrapText="1"/>
    </xf>
    <xf numFmtId="0" fontId="69" fillId="0" borderId="25" xfId="3" applyFont="1" applyFill="1" applyBorder="1" applyAlignment="1">
      <alignment vertical="center" wrapText="1"/>
    </xf>
    <xf numFmtId="0" fontId="70" fillId="0" borderId="25" xfId="0" applyFont="1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73" fillId="6" borderId="7" xfId="61781" applyFont="1" applyFill="1" applyBorder="1" applyAlignment="1">
      <alignment horizontal="left" wrapText="1"/>
    </xf>
    <xf numFmtId="0" fontId="70" fillId="6" borderId="11" xfId="0" applyFont="1" applyFill="1" applyBorder="1" applyAlignment="1">
      <alignment wrapText="1"/>
    </xf>
    <xf numFmtId="0" fontId="70" fillId="6" borderId="12" xfId="0" applyFont="1" applyFill="1" applyBorder="1" applyAlignment="1">
      <alignment wrapText="1"/>
    </xf>
    <xf numFmtId="0" fontId="2" fillId="9" borderId="39" xfId="61884" applyFont="1" applyFill="1" applyBorder="1" applyAlignment="1">
      <alignment horizontal="left" indent="1"/>
    </xf>
    <xf numFmtId="0" fontId="2" fillId="9" borderId="11" xfId="0" applyFont="1" applyFill="1" applyBorder="1"/>
    <xf numFmtId="0" fontId="2" fillId="9" borderId="38" xfId="0" applyFont="1" applyFill="1" applyBorder="1"/>
    <xf numFmtId="0" fontId="2" fillId="9" borderId="37" xfId="0" applyFont="1" applyFill="1" applyBorder="1"/>
    <xf numFmtId="0" fontId="2" fillId="9" borderId="17" xfId="61884" applyFont="1" applyFill="1" applyBorder="1" applyAlignment="1">
      <alignment horizontal="center" wrapText="1"/>
    </xf>
    <xf numFmtId="0" fontId="2" fillId="9" borderId="11" xfId="0" applyFont="1" applyFill="1" applyBorder="1" applyAlignment="1">
      <alignment horizontal="left"/>
    </xf>
    <xf numFmtId="14" fontId="0" fillId="0" borderId="0" xfId="0" applyNumberFormat="1" applyAlignment="1">
      <alignment horizontal="center"/>
    </xf>
    <xf numFmtId="0" fontId="0" fillId="0" borderId="25" xfId="0" applyBorder="1" applyAlignment="1">
      <alignment horizontal="center" vertical="center" wrapText="1"/>
    </xf>
    <xf numFmtId="14" fontId="69" fillId="0" borderId="2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wrapText="1" indent="1"/>
    </xf>
    <xf numFmtId="0" fontId="89" fillId="2" borderId="29" xfId="16930" applyFont="1" applyFill="1" applyBorder="1" applyAlignment="1">
      <alignment horizontal="left" wrapText="1" indent="1"/>
    </xf>
    <xf numFmtId="0" fontId="71" fillId="2" borderId="25" xfId="46197" applyFont="1" applyFill="1" applyBorder="1" applyAlignment="1">
      <alignment horizontal="left" wrapText="1" indent="1"/>
    </xf>
    <xf numFmtId="0" fontId="71" fillId="0" borderId="25" xfId="46197" applyFont="1" applyFill="1" applyBorder="1" applyAlignment="1">
      <alignment horizontal="left" wrapText="1" indent="1"/>
    </xf>
    <xf numFmtId="0" fontId="71" fillId="2" borderId="30" xfId="46197" applyFont="1" applyFill="1" applyBorder="1" applyAlignment="1">
      <alignment horizontal="left" wrapText="1" indent="1"/>
    </xf>
    <xf numFmtId="0" fontId="89" fillId="2" borderId="40" xfId="16930" applyFont="1" applyFill="1" applyBorder="1" applyAlignment="1">
      <alignment horizontal="left" wrapText="1" indent="1"/>
    </xf>
    <xf numFmtId="0" fontId="71" fillId="2" borderId="41" xfId="46197" applyFont="1" applyFill="1" applyBorder="1" applyAlignment="1">
      <alignment horizontal="left" wrapText="1" indent="1"/>
    </xf>
    <xf numFmtId="0" fontId="71" fillId="0" borderId="41" xfId="46197" applyFont="1" applyFill="1" applyBorder="1" applyAlignment="1">
      <alignment horizontal="left" wrapText="1" indent="1"/>
    </xf>
    <xf numFmtId="0" fontId="71" fillId="2" borderId="42" xfId="46197" applyFont="1" applyFill="1" applyBorder="1" applyAlignment="1">
      <alignment horizontal="left" wrapText="1" indent="1"/>
    </xf>
    <xf numFmtId="0" fontId="75" fillId="0" borderId="25" xfId="0" applyFont="1" applyBorder="1" applyAlignment="1">
      <alignment horizontal="left" indent="1"/>
    </xf>
    <xf numFmtId="0" fontId="73" fillId="5" borderId="25" xfId="61885" applyFont="1" applyBorder="1"/>
    <xf numFmtId="0" fontId="70" fillId="0" borderId="25" xfId="61795" applyFont="1" applyBorder="1" applyAlignment="1">
      <alignment horizontal="left" indent="1"/>
    </xf>
    <xf numFmtId="0" fontId="70" fillId="0" borderId="25" xfId="61795" applyFont="1" applyBorder="1"/>
    <xf numFmtId="0" fontId="70" fillId="0" borderId="25" xfId="61795" applyNumberFormat="1" applyFont="1" applyBorder="1" applyAlignment="1">
      <alignment horizontal="left" indent="1"/>
    </xf>
    <xf numFmtId="0" fontId="73" fillId="5" borderId="25" xfId="61885" applyFont="1" applyBorder="1" applyAlignment="1">
      <alignment wrapText="1"/>
    </xf>
    <xf numFmtId="0" fontId="70" fillId="0" borderId="25" xfId="61795" applyNumberFormat="1" applyFont="1" applyBorder="1" applyAlignment="1">
      <alignment horizontal="left" wrapText="1" indent="1"/>
    </xf>
    <xf numFmtId="0" fontId="0" fillId="2" borderId="26" xfId="0" applyFill="1" applyBorder="1" applyAlignment="1">
      <alignment horizontal="left" vertical="center" wrapText="1" indent="1"/>
    </xf>
    <xf numFmtId="0" fontId="0" fillId="2" borderId="27" xfId="0" applyFill="1" applyBorder="1" applyAlignment="1">
      <alignment horizontal="left" vertical="center" wrapText="1" indent="1"/>
    </xf>
    <xf numFmtId="0" fontId="0" fillId="0" borderId="27" xfId="0" applyBorder="1" applyAlignment="1">
      <alignment horizontal="left" vertical="center" wrapText="1" indent="1"/>
    </xf>
    <xf numFmtId="0" fontId="0" fillId="2" borderId="28" xfId="0" applyFill="1" applyBorder="1" applyAlignment="1">
      <alignment horizontal="left" vertical="center" wrapText="1" indent="1"/>
    </xf>
    <xf numFmtId="0" fontId="0" fillId="2" borderId="29" xfId="0" applyFill="1" applyBorder="1" applyAlignment="1">
      <alignment horizontal="left" vertical="center" wrapText="1" indent="1"/>
    </xf>
    <xf numFmtId="0" fontId="0" fillId="2" borderId="25" xfId="0" applyFill="1" applyBorder="1" applyAlignment="1">
      <alignment horizontal="left" vertical="center" wrapText="1" indent="1"/>
    </xf>
    <xf numFmtId="0" fontId="0" fillId="0" borderId="25" xfId="0" applyBorder="1" applyAlignment="1">
      <alignment horizontal="left" vertical="center" wrapText="1" indent="1"/>
    </xf>
    <xf numFmtId="0" fontId="0" fillId="2" borderId="30" xfId="0" applyFill="1" applyBorder="1" applyAlignment="1">
      <alignment horizontal="left" vertical="center" wrapText="1" indent="1"/>
    </xf>
    <xf numFmtId="0" fontId="75" fillId="2" borderId="29" xfId="0" applyFont="1" applyFill="1" applyBorder="1" applyAlignment="1">
      <alignment horizontal="left" vertical="center" wrapText="1" indent="1"/>
    </xf>
    <xf numFmtId="0" fontId="75" fillId="2" borderId="25" xfId="0" applyFont="1" applyFill="1" applyBorder="1" applyAlignment="1">
      <alignment horizontal="left" vertical="center" wrapText="1" indent="1"/>
    </xf>
    <xf numFmtId="0" fontId="75" fillId="0" borderId="25" xfId="0" applyFont="1" applyBorder="1" applyAlignment="1">
      <alignment horizontal="left" vertical="center" wrapText="1" indent="1"/>
    </xf>
    <xf numFmtId="0" fontId="75" fillId="2" borderId="30" xfId="0" applyFont="1" applyFill="1" applyBorder="1" applyAlignment="1">
      <alignment horizontal="left" vertical="center" wrapText="1" indent="1"/>
    </xf>
    <xf numFmtId="0" fontId="0" fillId="2" borderId="31" xfId="0" applyFill="1" applyBorder="1" applyAlignment="1">
      <alignment horizontal="left" vertical="center" wrapText="1" indent="1"/>
    </xf>
    <xf numFmtId="0" fontId="0" fillId="2" borderId="32" xfId="0" applyFill="1" applyBorder="1" applyAlignment="1">
      <alignment horizontal="left" vertical="center" wrapText="1" indent="1"/>
    </xf>
    <xf numFmtId="0" fontId="0" fillId="0" borderId="32" xfId="0" applyBorder="1" applyAlignment="1">
      <alignment horizontal="left" vertical="center" wrapText="1" indent="1"/>
    </xf>
    <xf numFmtId="0" fontId="0" fillId="2" borderId="33" xfId="0" applyFill="1" applyBorder="1" applyAlignment="1">
      <alignment horizontal="left" vertical="center" wrapText="1" indent="1"/>
    </xf>
    <xf numFmtId="0" fontId="0" fillId="6" borderId="11" xfId="0" applyFont="1" applyFill="1" applyBorder="1" applyAlignment="1">
      <alignment wrapText="1"/>
    </xf>
    <xf numFmtId="0" fontId="0" fillId="6" borderId="12" xfId="0" applyFont="1" applyFill="1" applyBorder="1" applyAlignment="1">
      <alignment wrapText="1"/>
    </xf>
    <xf numFmtId="0" fontId="1" fillId="2" borderId="17" xfId="61851" applyFont="1" applyFill="1" applyBorder="1" applyAlignment="1">
      <alignment horizontal="center" wrapText="1"/>
    </xf>
    <xf numFmtId="0" fontId="67" fillId="3" borderId="0" xfId="0" applyFont="1" applyFill="1" applyAlignment="1">
      <alignment horizontal="center" vertical="center"/>
    </xf>
    <xf numFmtId="0" fontId="83" fillId="3" borderId="0" xfId="0" applyFont="1" applyFill="1" applyAlignment="1">
      <alignment horizontal="center" vertical="center" wrapText="1"/>
    </xf>
    <xf numFmtId="0" fontId="82" fillId="4" borderId="3" xfId="0" applyFont="1" applyFill="1" applyBorder="1" applyAlignment="1">
      <alignment horizontal="center"/>
    </xf>
    <xf numFmtId="0" fontId="82" fillId="4" borderId="4" xfId="0" applyFont="1" applyFill="1" applyBorder="1" applyAlignment="1">
      <alignment horizontal="center"/>
    </xf>
    <xf numFmtId="0" fontId="82" fillId="4" borderId="5" xfId="0" applyFont="1" applyFill="1" applyBorder="1" applyAlignment="1">
      <alignment horizontal="center"/>
    </xf>
    <xf numFmtId="0" fontId="65" fillId="4" borderId="19" xfId="0" applyFont="1" applyFill="1" applyBorder="1" applyAlignment="1">
      <alignment horizontal="center"/>
    </xf>
    <xf numFmtId="0" fontId="65" fillId="4" borderId="15" xfId="0" applyFont="1" applyFill="1" applyBorder="1" applyAlignment="1">
      <alignment horizontal="center"/>
    </xf>
    <xf numFmtId="0" fontId="65" fillId="4" borderId="1" xfId="0" applyFont="1" applyFill="1" applyBorder="1" applyAlignment="1">
      <alignment horizontal="center"/>
    </xf>
  </cellXfs>
  <cellStyles count="6188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0 7 2 2" xfId="61880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3"/>
    <cellStyle name="20% - Accent1 2 4 3 17 2 2 3 4" xfId="61885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1" xfId="61882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84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2" xfId="6188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19"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2</xdr:col>
          <xdr:colOff>866775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2</xdr:col>
          <xdr:colOff>857250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228600</xdr:rowOff>
        </xdr:from>
        <xdr:to>
          <xdr:col>1</xdr:col>
          <xdr:colOff>180975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477" name="Commercial-Non_VoLTE" hidden="1">
              <a:extLst>
                <a:ext uri="{63B3BB69-23CF-44E3-9099-C40C66FF867C}">
                  <a14:compatExt spid="_x0000_s4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478" name="Commercial-VoLTE" hidden="1">
              <a:extLst>
                <a:ext uri="{63B3BB69-23CF-44E3-9099-C40C66FF867C}">
                  <a14:compatExt spid="_x0000_s4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479" name="CZech-VoLTE" hidden="1">
              <a:extLst>
                <a:ext uri="{63B3BB69-23CF-44E3-9099-C40C66FF867C}">
                  <a14:compatExt spid="_x0000_s4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56"/>
  <sheetViews>
    <sheetView tabSelected="1" topLeftCell="A7" zoomScale="90" zoomScaleNormal="90" workbookViewId="0">
      <selection activeCell="B13" sqref="B13:D13"/>
    </sheetView>
  </sheetViews>
  <sheetFormatPr defaultRowHeight="12.75" x14ac:dyDescent="0.2"/>
  <cols>
    <col min="1" max="1" width="38.85546875" customWidth="1"/>
    <col min="2" max="2" width="21.42578125" style="10" customWidth="1"/>
    <col min="3" max="3" width="21.5703125" style="33" customWidth="1"/>
    <col min="4" max="4" width="15.28515625" style="33" customWidth="1"/>
    <col min="5" max="5" width="12.85546875" bestFit="1" customWidth="1"/>
    <col min="6" max="6" width="21.5703125" customWidth="1"/>
    <col min="7" max="7" width="12.7109375" bestFit="1" customWidth="1"/>
    <col min="8" max="8" width="12.7109375" style="33" customWidth="1"/>
    <col min="9" max="9" width="12.7109375" bestFit="1" customWidth="1"/>
  </cols>
  <sheetData>
    <row r="1" spans="1:13" s="1" customFormat="1" ht="12.75" customHeight="1" x14ac:dyDescent="0.3">
      <c r="C1" s="24"/>
      <c r="D1" s="24"/>
      <c r="H1" s="24"/>
    </row>
    <row r="2" spans="1:13" s="7" customFormat="1" ht="45" customHeight="1" x14ac:dyDescent="0.2">
      <c r="A2" s="182" t="s">
        <v>310</v>
      </c>
      <c r="B2" s="182"/>
      <c r="C2" s="182"/>
      <c r="D2" s="182"/>
      <c r="E2" s="182"/>
      <c r="F2" s="182"/>
      <c r="G2" s="182"/>
      <c r="H2" s="54"/>
    </row>
    <row r="3" spans="1:13" s="1" customFormat="1" ht="15" x14ac:dyDescent="0.3">
      <c r="C3" s="24"/>
      <c r="D3" s="24"/>
      <c r="H3" s="24"/>
    </row>
    <row r="4" spans="1:13" s="1" customFormat="1" ht="15" x14ac:dyDescent="0.3">
      <c r="A4" s="3" t="s">
        <v>0</v>
      </c>
      <c r="B4" s="16">
        <f>MAX('Revision History'!C:C)</f>
        <v>42704</v>
      </c>
      <c r="C4" s="16"/>
      <c r="D4" s="16"/>
      <c r="H4" s="24"/>
    </row>
    <row r="5" spans="1:13" s="1" customFormat="1" ht="15" x14ac:dyDescent="0.3">
      <c r="A5" s="3" t="s">
        <v>1</v>
      </c>
      <c r="B5" s="17">
        <f>LOOKUP(2,1/('Revision History'!B:B&lt;&gt;""),'Revision History'!B:B)</f>
        <v>65</v>
      </c>
      <c r="C5" s="17"/>
      <c r="D5" s="17"/>
      <c r="H5" s="24"/>
    </row>
    <row r="6" spans="1:13" s="1" customFormat="1" ht="15" x14ac:dyDescent="0.3">
      <c r="A6" s="12" t="s">
        <v>227</v>
      </c>
      <c r="B6" s="14" t="s">
        <v>389</v>
      </c>
      <c r="C6" s="14"/>
      <c r="D6" s="14"/>
      <c r="H6" s="24"/>
    </row>
    <row r="7" spans="1:13" s="1" customFormat="1" ht="15" x14ac:dyDescent="0.3">
      <c r="A7" s="12" t="s">
        <v>225</v>
      </c>
      <c r="B7" s="14" t="s">
        <v>381</v>
      </c>
      <c r="C7" s="14"/>
      <c r="D7" s="14"/>
      <c r="H7" s="24"/>
    </row>
    <row r="8" spans="1:13" s="1" customFormat="1" ht="15" x14ac:dyDescent="0.3">
      <c r="A8" s="12" t="s">
        <v>226</v>
      </c>
      <c r="B8" s="14" t="s">
        <v>384</v>
      </c>
      <c r="C8" s="14"/>
      <c r="D8" s="24"/>
    </row>
    <row r="9" spans="1:13" s="6" customFormat="1" ht="19.5" x14ac:dyDescent="0.4">
      <c r="A9" s="12" t="s">
        <v>382</v>
      </c>
      <c r="B9" s="14" t="s">
        <v>468</v>
      </c>
    </row>
    <row r="10" spans="1:13" s="1" customFormat="1" ht="20.25" thickBot="1" x14ac:dyDescent="0.45">
      <c r="A10" s="15" t="s">
        <v>111</v>
      </c>
      <c r="B10" s="29"/>
      <c r="C10" s="29"/>
      <c r="D10" s="29"/>
    </row>
    <row r="11" spans="1:13" s="1" customFormat="1" ht="15.75" thickBot="1" x14ac:dyDescent="0.35">
      <c r="A11" s="5"/>
      <c r="B11" s="5" t="s">
        <v>842</v>
      </c>
      <c r="C11" s="5" t="s">
        <v>843</v>
      </c>
      <c r="D11" s="5" t="s">
        <v>844</v>
      </c>
      <c r="E11" s="24"/>
      <c r="F11" s="24"/>
      <c r="G11" s="24"/>
    </row>
    <row r="12" spans="1:13" s="2" customFormat="1" ht="15" x14ac:dyDescent="0.3">
      <c r="A12" s="4" t="s">
        <v>2</v>
      </c>
      <c r="B12" s="25">
        <v>31</v>
      </c>
      <c r="C12" s="25">
        <v>31</v>
      </c>
      <c r="D12" s="25">
        <v>31</v>
      </c>
      <c r="E12" s="24"/>
      <c r="F12" s="24"/>
      <c r="G12" s="24"/>
    </row>
    <row r="13" spans="1:13" s="18" customFormat="1" ht="15" x14ac:dyDescent="0.3">
      <c r="A13" s="11" t="s">
        <v>38</v>
      </c>
      <c r="B13" s="11" t="str">
        <f>'Commercial-Non_VoLTE'!F94</f>
        <v>0x05011F01</v>
      </c>
      <c r="C13" s="11" t="str">
        <f>'Commercial-VoLTE'!$F$597</f>
        <v>0x05011F26</v>
      </c>
      <c r="D13" s="11" t="str">
        <f>'CZech-VoLTE'!$F$617</f>
        <v>0x05011F43</v>
      </c>
      <c r="E13" s="38"/>
      <c r="F13" s="38"/>
      <c r="G13" s="38"/>
    </row>
    <row r="14" spans="1:13" s="34" customFormat="1" ht="15" x14ac:dyDescent="0.3">
      <c r="A14" s="25" t="s">
        <v>46</v>
      </c>
      <c r="B14" s="25">
        <v>1</v>
      </c>
      <c r="C14" s="25">
        <v>1</v>
      </c>
      <c r="D14" s="25">
        <v>1</v>
      </c>
      <c r="E14" s="24"/>
      <c r="F14" s="24"/>
      <c r="G14" s="24"/>
    </row>
    <row r="15" spans="1:13" s="18" customFormat="1" ht="20.25" thickBot="1" x14ac:dyDescent="0.45">
      <c r="A15" s="55" t="s">
        <v>351</v>
      </c>
      <c r="B15" s="55"/>
      <c r="C15" s="55"/>
      <c r="D15" s="55"/>
      <c r="E15" s="24"/>
      <c r="F15" s="24"/>
      <c r="G15" s="6"/>
    </row>
    <row r="16" spans="1:13" s="31" customFormat="1" ht="15" x14ac:dyDescent="0.3">
      <c r="A16" s="57"/>
      <c r="B16" s="57"/>
      <c r="C16" s="57"/>
      <c r="D16" s="57"/>
      <c r="F16" s="24"/>
      <c r="G16" s="24"/>
      <c r="H16" s="24"/>
      <c r="I16" s="24"/>
      <c r="J16" s="24"/>
      <c r="K16" s="24"/>
      <c r="L16" s="24"/>
      <c r="M16" s="24"/>
    </row>
    <row r="17" spans="1:19" s="31" customFormat="1" ht="16.5" customHeight="1" x14ac:dyDescent="0.3">
      <c r="A17" s="57"/>
      <c r="D17" s="57"/>
      <c r="E17" s="57"/>
      <c r="G17" s="24"/>
      <c r="H17" s="24"/>
      <c r="I17" s="24"/>
      <c r="J17" s="24"/>
      <c r="K17" s="24"/>
      <c r="L17" s="24"/>
      <c r="M17" s="24"/>
      <c r="N17" s="24"/>
    </row>
    <row r="18" spans="1:19" s="31" customFormat="1" ht="16.5" customHeight="1" x14ac:dyDescent="0.3">
      <c r="A18" s="57"/>
      <c r="B18" s="57"/>
      <c r="C18" s="57"/>
      <c r="D18" s="57"/>
      <c r="E18" s="57"/>
      <c r="F18" s="24"/>
      <c r="G18" s="24"/>
      <c r="H18" s="24"/>
      <c r="I18" s="34"/>
      <c r="J18" s="34"/>
      <c r="K18" s="24"/>
      <c r="L18" s="24"/>
      <c r="M18" s="24"/>
      <c r="N18" s="34"/>
    </row>
    <row r="19" spans="1:19" s="2" customFormat="1" ht="19.5" x14ac:dyDescent="0.4">
      <c r="A19"/>
      <c r="B19" s="10"/>
      <c r="C19" s="33"/>
      <c r="D19" s="34"/>
      <c r="F19" s="24"/>
      <c r="G19" s="24"/>
      <c r="H19" s="6"/>
      <c r="I19" s="18"/>
      <c r="J19" s="18"/>
      <c r="K19" s="6"/>
      <c r="L19" s="6"/>
      <c r="M19" s="6"/>
      <c r="N19" s="34"/>
      <c r="O19" s="34"/>
    </row>
    <row r="20" spans="1:19" s="2" customFormat="1" ht="15" x14ac:dyDescent="0.3">
      <c r="A20" s="9" t="s">
        <v>136</v>
      </c>
      <c r="B20" s="9"/>
      <c r="C20" s="9"/>
      <c r="D20" s="9"/>
      <c r="H20" s="34"/>
      <c r="J20" s="34"/>
      <c r="K20" s="34"/>
      <c r="L20" s="24"/>
      <c r="M20" s="34"/>
      <c r="N20" s="34"/>
      <c r="O20" s="31"/>
      <c r="P20" s="24"/>
      <c r="Q20" s="24"/>
      <c r="R20" s="24"/>
      <c r="S20" s="31"/>
    </row>
    <row r="21" spans="1:19" s="2" customFormat="1" ht="15" x14ac:dyDescent="0.3">
      <c r="A21" s="8"/>
      <c r="B21" s="8"/>
      <c r="C21" s="27"/>
      <c r="D21" s="27"/>
      <c r="H21" s="34"/>
      <c r="J21" s="34"/>
      <c r="K21" s="34"/>
      <c r="L21" s="34"/>
      <c r="M21" s="34"/>
      <c r="N21" s="34"/>
      <c r="O21" s="34"/>
      <c r="P21" s="34"/>
      <c r="Q21" s="34"/>
      <c r="R21" s="34"/>
    </row>
    <row r="22" spans="1:19" s="2" customFormat="1" ht="15" x14ac:dyDescent="0.3">
      <c r="A22"/>
      <c r="B22" s="10"/>
      <c r="C22" s="33"/>
      <c r="D22" s="33"/>
      <c r="E22"/>
      <c r="F22"/>
      <c r="G22"/>
      <c r="H22" s="33"/>
      <c r="I22"/>
      <c r="J22" s="34"/>
      <c r="K22" s="34"/>
      <c r="L22" s="34"/>
      <c r="M22" s="18"/>
      <c r="N22" s="34"/>
      <c r="O22" s="34"/>
      <c r="P22" s="34"/>
      <c r="Q22" s="34"/>
      <c r="R22" s="34"/>
    </row>
    <row r="23" spans="1:19" s="2" customFormat="1" ht="19.5" x14ac:dyDescent="0.4">
      <c r="A23"/>
      <c r="B23" s="10"/>
      <c r="C23" s="33"/>
      <c r="D23" s="33"/>
      <c r="E23"/>
      <c r="F23"/>
      <c r="G23"/>
      <c r="H23" s="33"/>
      <c r="I23"/>
      <c r="J23" s="18"/>
      <c r="K23" s="18"/>
      <c r="L23" s="24"/>
      <c r="M23" s="31"/>
      <c r="N23" s="34"/>
      <c r="P23" s="6"/>
      <c r="Q23" s="6"/>
      <c r="R23" s="34"/>
    </row>
    <row r="24" spans="1:19" s="2" customFormat="1" ht="15" x14ac:dyDescent="0.3">
      <c r="A24"/>
      <c r="B24" s="10"/>
      <c r="C24" s="33"/>
      <c r="D24" s="33"/>
      <c r="E24"/>
      <c r="F24"/>
      <c r="G24"/>
      <c r="H24" s="33"/>
      <c r="I24"/>
      <c r="J24" s="24"/>
      <c r="K24" s="24"/>
      <c r="L24" s="24"/>
      <c r="M24" s="31"/>
      <c r="N24" s="34"/>
      <c r="P24" s="24"/>
      <c r="Q24" s="24"/>
      <c r="R24" s="18"/>
    </row>
    <row r="25" spans="1:19" ht="15" x14ac:dyDescent="0.3">
      <c r="J25" s="34"/>
      <c r="K25" s="34"/>
      <c r="L25" s="34"/>
      <c r="M25" s="34"/>
      <c r="N25" s="34"/>
      <c r="P25" s="24"/>
      <c r="Q25" s="24"/>
      <c r="R25" s="31"/>
    </row>
    <row r="26" spans="1:19" ht="15" x14ac:dyDescent="0.3">
      <c r="J26" s="34"/>
      <c r="K26" s="34"/>
      <c r="L26" s="34"/>
      <c r="M26" s="34"/>
      <c r="N26" s="34"/>
    </row>
    <row r="27" spans="1:19" ht="19.5" x14ac:dyDescent="0.4">
      <c r="J27" s="6"/>
      <c r="K27" s="6"/>
      <c r="L27" s="34"/>
      <c r="M27" s="34"/>
      <c r="N27" s="34"/>
    </row>
    <row r="28" spans="1:19" ht="15" x14ac:dyDescent="0.3">
      <c r="J28" s="24"/>
      <c r="K28" s="24"/>
      <c r="L28" s="18"/>
      <c r="M28" s="34"/>
      <c r="N28" s="34"/>
    </row>
    <row r="29" spans="1:19" ht="15" x14ac:dyDescent="0.3">
      <c r="J29" s="24"/>
      <c r="K29" s="24"/>
      <c r="L29" s="31"/>
      <c r="M29" s="33"/>
      <c r="N29" s="33"/>
    </row>
    <row r="30" spans="1:19" x14ac:dyDescent="0.2">
      <c r="J30" s="33"/>
      <c r="K30" s="33"/>
      <c r="L30" s="33"/>
      <c r="M30" s="33"/>
      <c r="N30" s="33"/>
    </row>
    <row r="44" spans="5:6" x14ac:dyDescent="0.2">
      <c r="E44" s="33"/>
      <c r="F44" s="33"/>
    </row>
    <row r="45" spans="5:6" x14ac:dyDescent="0.2">
      <c r="E45" s="33"/>
      <c r="F45" s="33"/>
    </row>
    <row r="46" spans="5:6" x14ac:dyDescent="0.2">
      <c r="E46" s="33"/>
      <c r="F46" s="33"/>
    </row>
    <row r="56" spans="4:4" x14ac:dyDescent="0.2">
      <c r="D56" s="61"/>
    </row>
  </sheetData>
  <dataConsolidate link="1"/>
  <mergeCells count="1">
    <mergeCell ref="A2:G2"/>
  </mergeCells>
  <hyperlinks>
    <hyperlink ref="B11" location="'Commercial-Non_VoLTE'!A5" tooltip="Jump to worksheet" display="'Commercial-Non_VoLTE'!A5"/>
    <hyperlink ref="C11" location="'Commercial-VoLTE'!A5" tooltip="Jump to worksheet" display="'Commercial-VoLTE'!A5"/>
    <hyperlink ref="D11" location="'CZech-VoLTE'!A5" tooltip="Jump to worksheet" display="'CZech-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0</xdr:colOff>
                    <xdr:row>18</xdr:row>
                    <xdr:rowOff>228600</xdr:rowOff>
                  </from>
                  <to>
                    <xdr:col>1</xdr:col>
                    <xdr:colOff>180975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2</xdr:col>
                    <xdr:colOff>866775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2</xdr:col>
                    <xdr:colOff>857250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7" r:id="rId10" name="Commercial-Non_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8" r:id="rId11" name="Commercial-VoLTE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9" r:id="rId12" name="CZech-VoLTE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M113"/>
  <sheetViews>
    <sheetView topLeftCell="A83" zoomScale="85" zoomScaleNormal="85" workbookViewId="0">
      <selection activeCell="F95" sqref="F95"/>
    </sheetView>
  </sheetViews>
  <sheetFormatPr defaultColWidth="9.140625" defaultRowHeight="12.75" x14ac:dyDescent="0.2"/>
  <cols>
    <col min="1" max="1" width="43.85546875" style="33" customWidth="1"/>
    <col min="2" max="2" width="68" style="33" customWidth="1"/>
    <col min="3" max="3" width="13.7109375" style="33" customWidth="1"/>
    <col min="4" max="4" width="13.85546875" style="33" bestFit="1" customWidth="1"/>
    <col min="5" max="5" width="34" style="33" customWidth="1"/>
    <col min="6" max="6" width="30.5703125" style="19" customWidth="1"/>
    <col min="7" max="7" width="10.42578125" style="33" bestFit="1" customWidth="1"/>
    <col min="8" max="8" width="68.5703125" style="20" customWidth="1"/>
    <col min="9" max="9" width="49.5703125" style="33" customWidth="1"/>
    <col min="10" max="16384" width="9.140625" style="33"/>
  </cols>
  <sheetData>
    <row r="1" spans="1:9" s="26" customFormat="1" x14ac:dyDescent="0.2">
      <c r="F1" s="39"/>
      <c r="H1" s="40"/>
    </row>
    <row r="2" spans="1:9" s="53" customFormat="1" ht="27.75" x14ac:dyDescent="0.55000000000000004">
      <c r="A2" s="183" t="s">
        <v>471</v>
      </c>
      <c r="B2" s="183"/>
      <c r="C2" s="183"/>
      <c r="D2" s="183"/>
      <c r="E2" s="183"/>
      <c r="F2" s="183"/>
      <c r="G2" s="183"/>
      <c r="H2" s="183"/>
      <c r="I2" s="183"/>
    </row>
    <row r="3" spans="1:9" s="26" customFormat="1" ht="13.5" thickBot="1" x14ac:dyDescent="0.25">
      <c r="A3" s="13"/>
      <c r="F3" s="39"/>
      <c r="H3" s="40"/>
    </row>
    <row r="4" spans="1:9" s="36" customFormat="1" ht="20.25" thickBot="1" x14ac:dyDescent="0.45">
      <c r="A4" s="184" t="s">
        <v>311</v>
      </c>
      <c r="B4" s="185"/>
      <c r="C4" s="185"/>
      <c r="D4" s="185"/>
      <c r="E4" s="185"/>
      <c r="F4" s="185"/>
      <c r="G4" s="185"/>
      <c r="H4" s="186"/>
    </row>
    <row r="5" spans="1:9" s="38" customFormat="1" ht="15.75" thickBot="1" x14ac:dyDescent="0.35">
      <c r="A5" s="37" t="s">
        <v>8</v>
      </c>
      <c r="B5" s="48" t="s">
        <v>7</v>
      </c>
      <c r="C5" s="37" t="s">
        <v>33</v>
      </c>
      <c r="D5" s="37" t="s">
        <v>34</v>
      </c>
      <c r="E5" s="37" t="s">
        <v>9</v>
      </c>
      <c r="F5" s="37" t="s">
        <v>35</v>
      </c>
      <c r="G5" s="47" t="s">
        <v>40</v>
      </c>
      <c r="H5" s="49" t="s">
        <v>10</v>
      </c>
    </row>
    <row r="6" spans="1:9" s="18" customFormat="1" ht="15" x14ac:dyDescent="0.3">
      <c r="A6" s="110" t="s">
        <v>13</v>
      </c>
      <c r="B6" s="101">
        <v>71</v>
      </c>
      <c r="C6" s="101"/>
      <c r="D6" s="101"/>
      <c r="E6" s="107" t="s">
        <v>14</v>
      </c>
      <c r="F6" s="101"/>
      <c r="G6" s="101" t="s">
        <v>44</v>
      </c>
      <c r="H6" s="104"/>
    </row>
    <row r="7" spans="1:9" s="18" customFormat="1" ht="15" x14ac:dyDescent="0.3">
      <c r="A7" s="111"/>
      <c r="B7" s="102"/>
      <c r="C7" s="102" t="s">
        <v>37</v>
      </c>
      <c r="D7" s="102">
        <v>13</v>
      </c>
      <c r="E7" s="108" t="s">
        <v>15</v>
      </c>
      <c r="F7" s="102" t="s">
        <v>792</v>
      </c>
      <c r="G7" s="102"/>
      <c r="H7" s="105" t="s">
        <v>137</v>
      </c>
    </row>
    <row r="8" spans="1:9" s="26" customFormat="1" x14ac:dyDescent="0.2">
      <c r="A8" s="111" t="s">
        <v>396</v>
      </c>
      <c r="B8" s="102">
        <v>75</v>
      </c>
      <c r="C8" s="102"/>
      <c r="D8" s="102"/>
      <c r="E8" s="108" t="s">
        <v>397</v>
      </c>
      <c r="F8" s="102"/>
      <c r="G8" s="102" t="s">
        <v>44</v>
      </c>
      <c r="H8" s="105"/>
      <c r="I8" s="30"/>
    </row>
    <row r="9" spans="1:9" s="26" customFormat="1" x14ac:dyDescent="0.2">
      <c r="A9" s="111"/>
      <c r="B9" s="102"/>
      <c r="C9" s="102" t="s">
        <v>36</v>
      </c>
      <c r="D9" s="102">
        <v>1</v>
      </c>
      <c r="E9" s="108" t="s">
        <v>394</v>
      </c>
      <c r="F9" s="102">
        <v>1</v>
      </c>
      <c r="G9" s="102"/>
      <c r="H9" s="105"/>
      <c r="I9" s="30"/>
    </row>
    <row r="10" spans="1:9" s="26" customFormat="1" x14ac:dyDescent="0.2">
      <c r="A10" s="111"/>
      <c r="B10" s="102"/>
      <c r="C10" s="102" t="s">
        <v>36</v>
      </c>
      <c r="D10" s="102">
        <v>1</v>
      </c>
      <c r="E10" s="108" t="s">
        <v>395</v>
      </c>
      <c r="F10" s="102">
        <v>1</v>
      </c>
      <c r="G10" s="102"/>
      <c r="H10" s="105"/>
      <c r="I10" s="30"/>
    </row>
    <row r="11" spans="1:9" s="26" customFormat="1" x14ac:dyDescent="0.2">
      <c r="A11" s="111" t="s">
        <v>398</v>
      </c>
      <c r="B11" s="102">
        <v>848</v>
      </c>
      <c r="C11" s="102"/>
      <c r="D11" s="102"/>
      <c r="E11" s="108"/>
      <c r="F11" s="102"/>
      <c r="G11" s="102" t="s">
        <v>112</v>
      </c>
      <c r="H11" s="105"/>
      <c r="I11" s="30"/>
    </row>
    <row r="12" spans="1:9" s="26" customFormat="1" x14ac:dyDescent="0.2">
      <c r="A12" s="111"/>
      <c r="B12" s="102"/>
      <c r="C12" s="102" t="s">
        <v>36</v>
      </c>
      <c r="D12" s="102">
        <v>1</v>
      </c>
      <c r="E12" s="108" t="s">
        <v>11</v>
      </c>
      <c r="F12" s="102">
        <v>0</v>
      </c>
      <c r="G12" s="102"/>
      <c r="H12" s="105"/>
      <c r="I12" s="30"/>
    </row>
    <row r="13" spans="1:9" s="26" customFormat="1" ht="38.25" x14ac:dyDescent="0.2">
      <c r="A13" s="111"/>
      <c r="B13" s="102"/>
      <c r="C13" s="102" t="s">
        <v>36</v>
      </c>
      <c r="D13" s="102">
        <v>2</v>
      </c>
      <c r="E13" s="108" t="s">
        <v>399</v>
      </c>
      <c r="F13" s="102">
        <v>0</v>
      </c>
      <c r="G13" s="102"/>
      <c r="H13" s="105" t="s">
        <v>456</v>
      </c>
      <c r="I13" s="30"/>
    </row>
    <row r="14" spans="1:9" s="26" customFormat="1" x14ac:dyDescent="0.2">
      <c r="A14" s="111" t="s">
        <v>400</v>
      </c>
      <c r="B14" s="102">
        <v>849</v>
      </c>
      <c r="C14" s="102"/>
      <c r="D14" s="102"/>
      <c r="E14" s="108"/>
      <c r="F14" s="102"/>
      <c r="G14" s="102" t="s">
        <v>112</v>
      </c>
      <c r="H14" s="105"/>
      <c r="I14" s="30"/>
    </row>
    <row r="15" spans="1:9" s="26" customFormat="1" x14ac:dyDescent="0.2">
      <c r="A15" s="111"/>
      <c r="B15" s="102"/>
      <c r="C15" s="102" t="s">
        <v>36</v>
      </c>
      <c r="D15" s="102">
        <v>1</v>
      </c>
      <c r="E15" s="108" t="s">
        <v>11</v>
      </c>
      <c r="F15" s="102">
        <v>0</v>
      </c>
      <c r="G15" s="102"/>
      <c r="H15" s="105"/>
      <c r="I15" s="30"/>
    </row>
    <row r="16" spans="1:9" s="26" customFormat="1" ht="25.5" x14ac:dyDescent="0.2">
      <c r="A16" s="111"/>
      <c r="B16" s="102"/>
      <c r="C16" s="102" t="s">
        <v>36</v>
      </c>
      <c r="D16" s="102">
        <v>2</v>
      </c>
      <c r="E16" s="108" t="s">
        <v>401</v>
      </c>
      <c r="F16" s="102">
        <v>0</v>
      </c>
      <c r="G16" s="102"/>
      <c r="H16" s="105" t="s">
        <v>420</v>
      </c>
      <c r="I16" s="30"/>
    </row>
    <row r="17" spans="1:9" s="26" customFormat="1" x14ac:dyDescent="0.2">
      <c r="A17" s="111" t="s">
        <v>48</v>
      </c>
      <c r="B17" s="102">
        <v>880</v>
      </c>
      <c r="C17" s="102" t="s">
        <v>36</v>
      </c>
      <c r="D17" s="102">
        <v>1</v>
      </c>
      <c r="E17" s="108" t="s">
        <v>138</v>
      </c>
      <c r="F17" s="102" t="s">
        <v>4</v>
      </c>
      <c r="G17" s="102" t="s">
        <v>44</v>
      </c>
      <c r="H17" s="105"/>
      <c r="I17" s="30"/>
    </row>
    <row r="18" spans="1:9" s="26" customFormat="1" x14ac:dyDescent="0.2">
      <c r="A18" s="111" t="s">
        <v>49</v>
      </c>
      <c r="B18" s="102">
        <v>881</v>
      </c>
      <c r="C18" s="102" t="s">
        <v>36</v>
      </c>
      <c r="D18" s="102">
        <v>1</v>
      </c>
      <c r="E18" s="108" t="s">
        <v>139</v>
      </c>
      <c r="F18" s="102" t="s">
        <v>4</v>
      </c>
      <c r="G18" s="102" t="s">
        <v>44</v>
      </c>
      <c r="H18" s="105"/>
      <c r="I18" s="30"/>
    </row>
    <row r="19" spans="1:9" s="26" customFormat="1" x14ac:dyDescent="0.2">
      <c r="A19" s="111" t="s">
        <v>50</v>
      </c>
      <c r="B19" s="102">
        <v>882</v>
      </c>
      <c r="C19" s="102" t="s">
        <v>36</v>
      </c>
      <c r="D19" s="102">
        <v>1</v>
      </c>
      <c r="E19" s="108" t="s">
        <v>140</v>
      </c>
      <c r="F19" s="102" t="s">
        <v>21</v>
      </c>
      <c r="G19" s="102" t="s">
        <v>44</v>
      </c>
      <c r="H19" s="105"/>
      <c r="I19" s="30"/>
    </row>
    <row r="20" spans="1:9" s="26" customFormat="1" ht="51" x14ac:dyDescent="0.2">
      <c r="A20" s="111" t="s">
        <v>402</v>
      </c>
      <c r="B20" s="102">
        <v>909</v>
      </c>
      <c r="C20" s="102" t="s">
        <v>36</v>
      </c>
      <c r="D20" s="102">
        <v>1</v>
      </c>
      <c r="E20" s="108" t="s">
        <v>403</v>
      </c>
      <c r="F20" s="102">
        <v>2</v>
      </c>
      <c r="G20" s="102" t="s">
        <v>44</v>
      </c>
      <c r="H20" s="105" t="s">
        <v>404</v>
      </c>
      <c r="I20" s="30"/>
    </row>
    <row r="21" spans="1:9" s="26" customFormat="1" x14ac:dyDescent="0.2">
      <c r="A21" s="111" t="s">
        <v>405</v>
      </c>
      <c r="B21" s="102">
        <v>3628</v>
      </c>
      <c r="C21" s="102" t="s">
        <v>36</v>
      </c>
      <c r="D21" s="102">
        <v>1</v>
      </c>
      <c r="E21" s="108" t="s">
        <v>406</v>
      </c>
      <c r="F21" s="102">
        <v>1</v>
      </c>
      <c r="G21" s="102" t="s">
        <v>44</v>
      </c>
      <c r="H21" s="105" t="s">
        <v>407</v>
      </c>
      <c r="I21" s="30"/>
    </row>
    <row r="22" spans="1:9" s="26" customFormat="1" ht="102" x14ac:dyDescent="0.2">
      <c r="A22" s="111" t="s">
        <v>408</v>
      </c>
      <c r="B22" s="102">
        <v>6850</v>
      </c>
      <c r="C22" s="102" t="s">
        <v>36</v>
      </c>
      <c r="D22" s="102">
        <v>1</v>
      </c>
      <c r="E22" s="108" t="s">
        <v>409</v>
      </c>
      <c r="F22" s="102" t="s">
        <v>881</v>
      </c>
      <c r="G22" s="102" t="s">
        <v>44</v>
      </c>
      <c r="H22" s="105" t="s">
        <v>463</v>
      </c>
      <c r="I22" s="30"/>
    </row>
    <row r="23" spans="1:9" s="26" customFormat="1" ht="51" x14ac:dyDescent="0.2">
      <c r="A23" s="111" t="s">
        <v>410</v>
      </c>
      <c r="B23" s="102">
        <v>4117</v>
      </c>
      <c r="C23" s="102" t="s">
        <v>36</v>
      </c>
      <c r="D23" s="102">
        <v>1</v>
      </c>
      <c r="E23" s="108" t="s">
        <v>411</v>
      </c>
      <c r="F23" s="102">
        <v>0</v>
      </c>
      <c r="G23" s="102" t="s">
        <v>44</v>
      </c>
      <c r="H23" s="105" t="s">
        <v>412</v>
      </c>
      <c r="I23" s="30"/>
    </row>
    <row r="24" spans="1:9" s="26" customFormat="1" ht="51" x14ac:dyDescent="0.2">
      <c r="A24" s="111" t="s">
        <v>413</v>
      </c>
      <c r="B24" s="102">
        <v>4722</v>
      </c>
      <c r="C24" s="102" t="s">
        <v>36</v>
      </c>
      <c r="D24" s="102">
        <v>1</v>
      </c>
      <c r="E24" s="108" t="s">
        <v>414</v>
      </c>
      <c r="F24" s="102">
        <v>3</v>
      </c>
      <c r="G24" s="102" t="s">
        <v>44</v>
      </c>
      <c r="H24" s="105" t="s">
        <v>415</v>
      </c>
      <c r="I24" s="30"/>
    </row>
    <row r="25" spans="1:9" s="26" customFormat="1" x14ac:dyDescent="0.2">
      <c r="A25" s="111" t="s">
        <v>148</v>
      </c>
      <c r="B25" s="102">
        <v>562</v>
      </c>
      <c r="C25" s="102" t="s">
        <v>36</v>
      </c>
      <c r="D25" s="102">
        <v>1</v>
      </c>
      <c r="E25" s="108" t="s">
        <v>149</v>
      </c>
      <c r="F25" s="102">
        <v>1</v>
      </c>
      <c r="G25" s="102" t="s">
        <v>44</v>
      </c>
      <c r="H25" s="105" t="s">
        <v>12</v>
      </c>
      <c r="I25" s="30"/>
    </row>
    <row r="26" spans="1:9" s="26" customFormat="1" x14ac:dyDescent="0.2">
      <c r="A26" s="111" t="s">
        <v>47</v>
      </c>
      <c r="B26" s="102">
        <v>855</v>
      </c>
      <c r="C26" s="102" t="s">
        <v>36</v>
      </c>
      <c r="D26" s="102">
        <v>2</v>
      </c>
      <c r="E26" s="108" t="s">
        <v>16</v>
      </c>
      <c r="F26" s="102">
        <v>0</v>
      </c>
      <c r="G26" s="102" t="s">
        <v>44</v>
      </c>
      <c r="H26" s="105" t="s">
        <v>142</v>
      </c>
      <c r="I26" s="30"/>
    </row>
    <row r="27" spans="1:9" s="26" customFormat="1" x14ac:dyDescent="0.2">
      <c r="A27" s="111" t="s">
        <v>52</v>
      </c>
      <c r="B27" s="102">
        <v>6862</v>
      </c>
      <c r="C27" s="102" t="s">
        <v>36</v>
      </c>
      <c r="D27" s="102">
        <v>1</v>
      </c>
      <c r="E27" s="108"/>
      <c r="F27" s="102">
        <v>1</v>
      </c>
      <c r="G27" s="102" t="s">
        <v>44</v>
      </c>
      <c r="H27" s="105" t="s">
        <v>6</v>
      </c>
      <c r="I27" s="30"/>
    </row>
    <row r="28" spans="1:9" s="26" customFormat="1" x14ac:dyDescent="0.2">
      <c r="A28" s="111" t="s">
        <v>51</v>
      </c>
      <c r="B28" s="102">
        <v>4265</v>
      </c>
      <c r="C28" s="102" t="s">
        <v>36</v>
      </c>
      <c r="D28" s="102">
        <v>1</v>
      </c>
      <c r="E28" s="108"/>
      <c r="F28" s="102" t="s">
        <v>21</v>
      </c>
      <c r="G28" s="102" t="s">
        <v>44</v>
      </c>
      <c r="H28" s="105"/>
      <c r="I28" s="30"/>
    </row>
    <row r="29" spans="1:9" s="26" customFormat="1" x14ac:dyDescent="0.2">
      <c r="A29" s="111" t="s">
        <v>168</v>
      </c>
      <c r="B29" s="102">
        <v>6831</v>
      </c>
      <c r="C29" s="102" t="s">
        <v>36</v>
      </c>
      <c r="D29" s="102">
        <v>1</v>
      </c>
      <c r="E29" s="108"/>
      <c r="F29" s="102">
        <v>10</v>
      </c>
      <c r="G29" s="102" t="s">
        <v>44</v>
      </c>
      <c r="H29" s="105"/>
      <c r="I29" s="30"/>
    </row>
    <row r="30" spans="1:9" s="26" customFormat="1" ht="38.25" x14ac:dyDescent="0.2">
      <c r="A30" s="111" t="s">
        <v>584</v>
      </c>
      <c r="B30" s="102">
        <v>1016</v>
      </c>
      <c r="C30" s="102" t="s">
        <v>36</v>
      </c>
      <c r="D30" s="102">
        <v>1</v>
      </c>
      <c r="E30" s="108" t="s">
        <v>585</v>
      </c>
      <c r="F30" s="102">
        <v>1</v>
      </c>
      <c r="G30" s="102" t="s">
        <v>44</v>
      </c>
      <c r="H30" s="105" t="s">
        <v>586</v>
      </c>
      <c r="I30" s="30"/>
    </row>
    <row r="31" spans="1:9" s="26" customFormat="1" ht="51" x14ac:dyDescent="0.2">
      <c r="A31" s="111" t="s">
        <v>587</v>
      </c>
      <c r="B31" s="102">
        <v>1017</v>
      </c>
      <c r="C31" s="102" t="s">
        <v>36</v>
      </c>
      <c r="D31" s="102">
        <v>1</v>
      </c>
      <c r="E31" s="108" t="s">
        <v>588</v>
      </c>
      <c r="F31" s="102">
        <v>2</v>
      </c>
      <c r="G31" s="102" t="s">
        <v>44</v>
      </c>
      <c r="H31" s="105" t="s">
        <v>589</v>
      </c>
      <c r="I31" s="30"/>
    </row>
    <row r="32" spans="1:9" s="26" customFormat="1" x14ac:dyDescent="0.2">
      <c r="A32" s="111" t="s">
        <v>418</v>
      </c>
      <c r="B32" s="102">
        <v>1896</v>
      </c>
      <c r="C32" s="102" t="s">
        <v>36</v>
      </c>
      <c r="D32" s="102">
        <v>1</v>
      </c>
      <c r="E32" s="108" t="s">
        <v>419</v>
      </c>
      <c r="F32" s="102">
        <v>1</v>
      </c>
      <c r="G32" s="102" t="s">
        <v>44</v>
      </c>
      <c r="H32" s="105"/>
      <c r="I32" s="30"/>
    </row>
    <row r="33" spans="1:13" s="62" customFormat="1" x14ac:dyDescent="0.2">
      <c r="A33" s="111" t="s">
        <v>478</v>
      </c>
      <c r="B33" s="102">
        <v>5895</v>
      </c>
      <c r="C33" s="102" t="s">
        <v>36</v>
      </c>
      <c r="D33" s="102">
        <v>1</v>
      </c>
      <c r="E33" s="108" t="s">
        <v>479</v>
      </c>
      <c r="F33" s="102" t="s">
        <v>4</v>
      </c>
      <c r="G33" s="102" t="s">
        <v>44</v>
      </c>
      <c r="H33" s="105">
        <v>5895</v>
      </c>
      <c r="I33" s="26"/>
      <c r="J33" s="26"/>
      <c r="K33" s="26"/>
      <c r="L33" s="26"/>
      <c r="M33" s="26"/>
    </row>
    <row r="34" spans="1:13" s="26" customFormat="1" ht="13.5" thickBot="1" x14ac:dyDescent="0.25">
      <c r="A34" s="112" t="s">
        <v>466</v>
      </c>
      <c r="B34" s="103">
        <v>4432</v>
      </c>
      <c r="C34" s="103" t="s">
        <v>36</v>
      </c>
      <c r="D34" s="103">
        <v>1</v>
      </c>
      <c r="E34" s="109" t="s">
        <v>464</v>
      </c>
      <c r="F34" s="103" t="s">
        <v>465</v>
      </c>
      <c r="G34" s="103" t="s">
        <v>44</v>
      </c>
      <c r="H34" s="106" t="s">
        <v>467</v>
      </c>
    </row>
    <row r="35" spans="1:13" s="26" customFormat="1" ht="15.75" thickBot="1" x14ac:dyDescent="0.35">
      <c r="A35" s="44"/>
      <c r="B35" s="45"/>
      <c r="C35" s="35"/>
      <c r="D35" s="35"/>
      <c r="E35" s="35"/>
      <c r="F35" s="28"/>
      <c r="G35" s="35"/>
      <c r="H35" s="43"/>
    </row>
    <row r="36" spans="1:13" s="26" customFormat="1" ht="20.25" thickBot="1" x14ac:dyDescent="0.45">
      <c r="A36" s="50" t="s">
        <v>39</v>
      </c>
      <c r="B36" s="51"/>
      <c r="C36" s="51"/>
      <c r="D36" s="51"/>
      <c r="E36" s="51"/>
      <c r="F36" s="51"/>
      <c r="G36" s="51"/>
      <c r="H36" s="52"/>
      <c r="I36" s="41"/>
    </row>
    <row r="37" spans="1:13" s="13" customFormat="1" ht="15.75" thickBot="1" x14ac:dyDescent="0.35">
      <c r="A37" s="46" t="s">
        <v>25</v>
      </c>
      <c r="B37" s="47" t="s">
        <v>26</v>
      </c>
      <c r="C37" s="47" t="s">
        <v>33</v>
      </c>
      <c r="D37" s="46" t="s">
        <v>42</v>
      </c>
      <c r="E37" s="46" t="s">
        <v>41</v>
      </c>
      <c r="F37" s="46" t="s">
        <v>35</v>
      </c>
      <c r="G37" s="42" t="s">
        <v>40</v>
      </c>
      <c r="H37" s="58" t="s">
        <v>45</v>
      </c>
      <c r="I37" s="59" t="s">
        <v>27</v>
      </c>
    </row>
    <row r="38" spans="1:13" s="13" customFormat="1" ht="17.25" x14ac:dyDescent="0.35">
      <c r="A38" s="113" t="s">
        <v>474</v>
      </c>
      <c r="B38" s="114" t="s">
        <v>475</v>
      </c>
      <c r="C38" s="114" t="s">
        <v>58</v>
      </c>
      <c r="D38" s="114"/>
      <c r="E38" s="114"/>
      <c r="F38" s="114"/>
      <c r="G38" s="114" t="s">
        <v>44</v>
      </c>
      <c r="H38" s="115"/>
      <c r="I38" s="73">
        <v>70222</v>
      </c>
    </row>
    <row r="39" spans="1:13" s="13" customFormat="1" ht="17.25" x14ac:dyDescent="0.35">
      <c r="A39" s="116"/>
      <c r="B39" s="117"/>
      <c r="C39" s="117"/>
      <c r="D39" s="117" t="s">
        <v>36</v>
      </c>
      <c r="E39" s="117">
        <v>1</v>
      </c>
      <c r="F39" s="117">
        <v>1</v>
      </c>
      <c r="G39" s="117"/>
      <c r="H39" s="118"/>
      <c r="I39" s="71"/>
    </row>
    <row r="40" spans="1:13" s="30" customFormat="1" ht="17.25" x14ac:dyDescent="0.35">
      <c r="A40" s="116" t="s">
        <v>425</v>
      </c>
      <c r="B40" s="117" t="s">
        <v>426</v>
      </c>
      <c r="C40" s="117" t="s">
        <v>58</v>
      </c>
      <c r="D40" s="117"/>
      <c r="E40" s="117"/>
      <c r="F40" s="117"/>
      <c r="G40" s="117" t="s">
        <v>44</v>
      </c>
      <c r="H40" s="118" t="s">
        <v>6</v>
      </c>
      <c r="I40" s="71">
        <v>65776</v>
      </c>
    </row>
    <row r="41" spans="1:13" s="30" customFormat="1" ht="17.25" x14ac:dyDescent="0.35">
      <c r="A41" s="116"/>
      <c r="B41" s="117"/>
      <c r="C41" s="117"/>
      <c r="D41" s="117" t="s">
        <v>36</v>
      </c>
      <c r="E41" s="117">
        <v>1</v>
      </c>
      <c r="F41" s="117">
        <v>0</v>
      </c>
      <c r="G41" s="117"/>
      <c r="H41" s="118"/>
      <c r="I41" s="71" t="s">
        <v>427</v>
      </c>
    </row>
    <row r="42" spans="1:13" s="30" customFormat="1" ht="17.25" x14ac:dyDescent="0.35">
      <c r="A42" s="116" t="s">
        <v>141</v>
      </c>
      <c r="B42" s="117" t="s">
        <v>110</v>
      </c>
      <c r="C42" s="117" t="s">
        <v>58</v>
      </c>
      <c r="D42" s="117"/>
      <c r="E42" s="117"/>
      <c r="F42" s="117"/>
      <c r="G42" s="117" t="s">
        <v>44</v>
      </c>
      <c r="H42" s="118"/>
      <c r="I42" s="71">
        <v>65777</v>
      </c>
    </row>
    <row r="43" spans="1:13" s="30" customFormat="1" ht="17.25" x14ac:dyDescent="0.35">
      <c r="A43" s="116"/>
      <c r="B43" s="117"/>
      <c r="C43" s="117"/>
      <c r="D43" s="117" t="s">
        <v>36</v>
      </c>
      <c r="E43" s="117">
        <v>1</v>
      </c>
      <c r="F43" s="117">
        <v>0</v>
      </c>
      <c r="G43" s="117"/>
      <c r="H43" s="118"/>
      <c r="I43" s="71"/>
    </row>
    <row r="44" spans="1:13" s="30" customFormat="1" ht="27.75" x14ac:dyDescent="0.35">
      <c r="A44" s="116" t="s">
        <v>428</v>
      </c>
      <c r="B44" s="117" t="s">
        <v>429</v>
      </c>
      <c r="C44" s="117" t="s">
        <v>58</v>
      </c>
      <c r="D44" s="117"/>
      <c r="E44" s="117"/>
      <c r="F44" s="117"/>
      <c r="G44" s="117" t="s">
        <v>44</v>
      </c>
      <c r="H44" s="118"/>
      <c r="I44" s="71">
        <v>67219</v>
      </c>
    </row>
    <row r="45" spans="1:13" s="30" customFormat="1" ht="34.5" x14ac:dyDescent="0.35">
      <c r="A45" s="116"/>
      <c r="B45" s="117"/>
      <c r="C45" s="117"/>
      <c r="D45" s="117" t="s">
        <v>36</v>
      </c>
      <c r="E45" s="117">
        <v>1</v>
      </c>
      <c r="F45" s="117">
        <v>1</v>
      </c>
      <c r="G45" s="117"/>
      <c r="H45" s="118"/>
      <c r="I45" s="71" t="s">
        <v>431</v>
      </c>
    </row>
    <row r="46" spans="1:13" s="30" customFormat="1" ht="27.75" x14ac:dyDescent="0.35">
      <c r="A46" s="116" t="s">
        <v>433</v>
      </c>
      <c r="B46" s="117" t="s">
        <v>430</v>
      </c>
      <c r="C46" s="117" t="s">
        <v>58</v>
      </c>
      <c r="D46" s="117"/>
      <c r="E46" s="117"/>
      <c r="F46" s="117"/>
      <c r="G46" s="117" t="s">
        <v>44</v>
      </c>
      <c r="H46" s="118"/>
      <c r="I46" s="71">
        <v>67220</v>
      </c>
    </row>
    <row r="47" spans="1:13" s="30" customFormat="1" ht="17.25" x14ac:dyDescent="0.35">
      <c r="A47" s="116"/>
      <c r="B47" s="117"/>
      <c r="C47" s="117"/>
      <c r="D47" s="117" t="s">
        <v>36</v>
      </c>
      <c r="E47" s="117">
        <v>2</v>
      </c>
      <c r="F47" s="117">
        <v>2000</v>
      </c>
      <c r="G47" s="117"/>
      <c r="H47" s="118"/>
      <c r="I47" s="71" t="s">
        <v>432</v>
      </c>
    </row>
    <row r="48" spans="1:13" s="30" customFormat="1" ht="17.25" x14ac:dyDescent="0.35">
      <c r="A48" s="116" t="s">
        <v>459</v>
      </c>
      <c r="B48" s="117" t="s">
        <v>460</v>
      </c>
      <c r="C48" s="117" t="s">
        <v>58</v>
      </c>
      <c r="D48" s="117"/>
      <c r="E48" s="117"/>
      <c r="F48" s="117"/>
      <c r="G48" s="117" t="s">
        <v>44</v>
      </c>
      <c r="H48" s="118"/>
      <c r="I48" s="71"/>
    </row>
    <row r="49" spans="1:9" s="30" customFormat="1" ht="17.25" x14ac:dyDescent="0.35">
      <c r="A49" s="116"/>
      <c r="B49" s="117"/>
      <c r="C49" s="117"/>
      <c r="D49" s="117" t="s">
        <v>36</v>
      </c>
      <c r="E49" s="117">
        <v>1</v>
      </c>
      <c r="F49" s="117">
        <v>1</v>
      </c>
      <c r="G49" s="117"/>
      <c r="H49" s="118"/>
      <c r="I49" s="71"/>
    </row>
    <row r="50" spans="1:9" s="30" customFormat="1" ht="17.25" x14ac:dyDescent="0.35">
      <c r="A50" s="116" t="s">
        <v>459</v>
      </c>
      <c r="B50" s="117" t="s">
        <v>461</v>
      </c>
      <c r="C50" s="117" t="s">
        <v>58</v>
      </c>
      <c r="D50" s="117"/>
      <c r="E50" s="117"/>
      <c r="F50" s="117"/>
      <c r="G50" s="117" t="s">
        <v>44</v>
      </c>
      <c r="H50" s="118"/>
      <c r="I50" s="71"/>
    </row>
    <row r="51" spans="1:9" s="30" customFormat="1" ht="17.25" x14ac:dyDescent="0.35">
      <c r="A51" s="116"/>
      <c r="B51" s="117"/>
      <c r="C51" s="117"/>
      <c r="D51" s="117" t="s">
        <v>36</v>
      </c>
      <c r="E51" s="117">
        <v>4</v>
      </c>
      <c r="F51" s="117">
        <v>2000</v>
      </c>
      <c r="G51" s="117"/>
      <c r="H51" s="118"/>
      <c r="I51" s="71"/>
    </row>
    <row r="52" spans="1:9" s="30" customFormat="1" ht="17.25" x14ac:dyDescent="0.35">
      <c r="A52" s="116" t="s">
        <v>161</v>
      </c>
      <c r="B52" s="117" t="s">
        <v>162</v>
      </c>
      <c r="C52" s="117" t="s">
        <v>58</v>
      </c>
      <c r="D52" s="117"/>
      <c r="E52" s="117"/>
      <c r="F52" s="117"/>
      <c r="G52" s="117" t="s">
        <v>44</v>
      </c>
      <c r="H52" s="118"/>
      <c r="I52" s="71">
        <v>66472</v>
      </c>
    </row>
    <row r="53" spans="1:9" s="30" customFormat="1" ht="17.25" x14ac:dyDescent="0.35">
      <c r="A53" s="116"/>
      <c r="B53" s="117"/>
      <c r="C53" s="117"/>
      <c r="D53" s="117" t="s">
        <v>36</v>
      </c>
      <c r="E53" s="117">
        <v>1</v>
      </c>
      <c r="F53" s="117">
        <v>0</v>
      </c>
      <c r="G53" s="117"/>
      <c r="H53" s="118"/>
      <c r="I53" s="71"/>
    </row>
    <row r="54" spans="1:9" s="30" customFormat="1" ht="17.25" x14ac:dyDescent="0.35">
      <c r="A54" s="116" t="s">
        <v>163</v>
      </c>
      <c r="B54" s="117" t="s">
        <v>164</v>
      </c>
      <c r="C54" s="117" t="s">
        <v>58</v>
      </c>
      <c r="D54" s="117"/>
      <c r="E54" s="117"/>
      <c r="F54" s="117"/>
      <c r="G54" s="117" t="s">
        <v>44</v>
      </c>
      <c r="H54" s="118"/>
      <c r="I54" s="71">
        <v>66473</v>
      </c>
    </row>
    <row r="55" spans="1:9" s="30" customFormat="1" ht="17.25" x14ac:dyDescent="0.35">
      <c r="A55" s="116"/>
      <c r="B55" s="117"/>
      <c r="C55" s="117"/>
      <c r="D55" s="117" t="s">
        <v>36</v>
      </c>
      <c r="E55" s="117">
        <v>1</v>
      </c>
      <c r="F55" s="117">
        <v>1</v>
      </c>
      <c r="G55" s="117"/>
      <c r="H55" s="118"/>
      <c r="I55" s="71"/>
    </row>
    <row r="56" spans="1:9" s="30" customFormat="1" ht="17.25" x14ac:dyDescent="0.35">
      <c r="A56" s="116" t="s">
        <v>165</v>
      </c>
      <c r="B56" s="117" t="s">
        <v>166</v>
      </c>
      <c r="C56" s="117" t="s">
        <v>58</v>
      </c>
      <c r="D56" s="117"/>
      <c r="E56" s="117"/>
      <c r="F56" s="117"/>
      <c r="G56" s="117" t="s">
        <v>44</v>
      </c>
      <c r="H56" s="118"/>
      <c r="I56" s="71">
        <v>66048</v>
      </c>
    </row>
    <row r="57" spans="1:9" s="30" customFormat="1" ht="17.25" x14ac:dyDescent="0.35">
      <c r="A57" s="116"/>
      <c r="B57" s="117"/>
      <c r="C57" s="117"/>
      <c r="D57" s="117" t="s">
        <v>36</v>
      </c>
      <c r="E57" s="117">
        <v>1</v>
      </c>
      <c r="F57" s="117">
        <v>0</v>
      </c>
      <c r="G57" s="117"/>
      <c r="H57" s="118"/>
      <c r="I57" s="71"/>
    </row>
    <row r="58" spans="1:9" s="30" customFormat="1" ht="17.25" x14ac:dyDescent="0.35">
      <c r="A58" s="116" t="s">
        <v>343</v>
      </c>
      <c r="B58" s="117" t="s">
        <v>321</v>
      </c>
      <c r="C58" s="117" t="s">
        <v>58</v>
      </c>
      <c r="D58" s="117"/>
      <c r="E58" s="117"/>
      <c r="F58" s="117"/>
      <c r="G58" s="117" t="s">
        <v>44</v>
      </c>
      <c r="H58" s="118"/>
      <c r="I58" s="71">
        <v>70239</v>
      </c>
    </row>
    <row r="59" spans="1:9" s="30" customFormat="1" ht="17.25" x14ac:dyDescent="0.35">
      <c r="A59" s="116"/>
      <c r="B59" s="117"/>
      <c r="C59" s="117"/>
      <c r="D59" s="117" t="s">
        <v>36</v>
      </c>
      <c r="E59" s="117">
        <v>1</v>
      </c>
      <c r="F59" s="117">
        <v>0</v>
      </c>
      <c r="G59" s="117"/>
      <c r="H59" s="118"/>
      <c r="I59" s="71"/>
    </row>
    <row r="60" spans="1:9" s="30" customFormat="1" ht="17.25" x14ac:dyDescent="0.35">
      <c r="A60" s="116" t="s">
        <v>355</v>
      </c>
      <c r="B60" s="117" t="s">
        <v>356</v>
      </c>
      <c r="C60" s="117" t="s">
        <v>58</v>
      </c>
      <c r="D60" s="117"/>
      <c r="E60" s="117"/>
      <c r="F60" s="117"/>
      <c r="G60" s="117" t="s">
        <v>44</v>
      </c>
      <c r="H60" s="118"/>
      <c r="I60" s="71">
        <v>70315</v>
      </c>
    </row>
    <row r="61" spans="1:9" s="30" customFormat="1" ht="17.25" x14ac:dyDescent="0.35">
      <c r="A61" s="116"/>
      <c r="B61" s="117"/>
      <c r="C61" s="117"/>
      <c r="D61" s="117" t="s">
        <v>36</v>
      </c>
      <c r="E61" s="117">
        <v>1</v>
      </c>
      <c r="F61" s="117">
        <v>2</v>
      </c>
      <c r="G61" s="117"/>
      <c r="H61" s="118"/>
      <c r="I61" s="71"/>
    </row>
    <row r="62" spans="1:9" s="30" customFormat="1" ht="17.25" x14ac:dyDescent="0.35">
      <c r="A62" s="116" t="s">
        <v>153</v>
      </c>
      <c r="B62" s="117" t="s">
        <v>152</v>
      </c>
      <c r="C62" s="117" t="s">
        <v>58</v>
      </c>
      <c r="D62" s="117" t="s">
        <v>6</v>
      </c>
      <c r="E62" s="117" t="s">
        <v>6</v>
      </c>
      <c r="F62" s="117" t="s">
        <v>6</v>
      </c>
      <c r="G62" s="117" t="s">
        <v>44</v>
      </c>
      <c r="H62" s="118"/>
      <c r="I62" s="71">
        <v>69679</v>
      </c>
    </row>
    <row r="63" spans="1:9" s="30" customFormat="1" ht="34.5" x14ac:dyDescent="0.35">
      <c r="A63" s="116"/>
      <c r="B63" s="117"/>
      <c r="C63" s="117"/>
      <c r="D63" s="117" t="s">
        <v>36</v>
      </c>
      <c r="E63" s="117">
        <v>1</v>
      </c>
      <c r="F63" s="117">
        <v>0</v>
      </c>
      <c r="G63" s="117"/>
      <c r="H63" s="118"/>
      <c r="I63" s="71" t="s">
        <v>457</v>
      </c>
    </row>
    <row r="64" spans="1:9" s="30" customFormat="1" ht="17.25" x14ac:dyDescent="0.35">
      <c r="A64" s="116" t="s">
        <v>451</v>
      </c>
      <c r="B64" s="117" t="s">
        <v>452</v>
      </c>
      <c r="C64" s="117" t="s">
        <v>58</v>
      </c>
      <c r="D64" s="117"/>
      <c r="E64" s="117"/>
      <c r="F64" s="117"/>
      <c r="G64" s="117" t="s">
        <v>44</v>
      </c>
      <c r="H64" s="118"/>
      <c r="I64" s="71">
        <v>73544</v>
      </c>
    </row>
    <row r="65" spans="1:13" s="30" customFormat="1" ht="17.25" x14ac:dyDescent="0.35">
      <c r="A65" s="116"/>
      <c r="B65" s="117"/>
      <c r="C65" s="117"/>
      <c r="D65" s="117" t="s">
        <v>36</v>
      </c>
      <c r="E65" s="117">
        <v>1</v>
      </c>
      <c r="F65" s="117" t="s">
        <v>6</v>
      </c>
      <c r="G65" s="117"/>
      <c r="H65" s="118"/>
      <c r="I65" s="71" t="s">
        <v>451</v>
      </c>
    </row>
    <row r="66" spans="1:13" s="30" customFormat="1" ht="17.25" x14ac:dyDescent="0.35">
      <c r="A66" s="116" t="s">
        <v>548</v>
      </c>
      <c r="B66" s="117" t="s">
        <v>549</v>
      </c>
      <c r="C66" s="117" t="s">
        <v>488</v>
      </c>
      <c r="D66" s="117"/>
      <c r="E66" s="117"/>
      <c r="F66" s="117"/>
      <c r="G66" s="117" t="s">
        <v>44</v>
      </c>
      <c r="H66" s="118" t="s">
        <v>550</v>
      </c>
      <c r="I66" s="71" t="s">
        <v>6</v>
      </c>
    </row>
    <row r="67" spans="1:13" s="30" customFormat="1" ht="17.25" x14ac:dyDescent="0.35">
      <c r="A67" s="116" t="s">
        <v>611</v>
      </c>
      <c r="B67" s="117" t="s">
        <v>612</v>
      </c>
      <c r="C67" s="117" t="s">
        <v>488</v>
      </c>
      <c r="D67" s="117"/>
      <c r="E67" s="117"/>
      <c r="F67" s="117"/>
      <c r="G67" s="117" t="s">
        <v>591</v>
      </c>
      <c r="H67" s="118" t="s">
        <v>613</v>
      </c>
      <c r="I67" s="71" t="s">
        <v>6</v>
      </c>
    </row>
    <row r="68" spans="1:13" s="30" customFormat="1" ht="17.25" x14ac:dyDescent="0.35">
      <c r="A68" s="116" t="s">
        <v>614</v>
      </c>
      <c r="B68" s="117" t="s">
        <v>615</v>
      </c>
      <c r="C68" s="117" t="s">
        <v>488</v>
      </c>
      <c r="D68" s="117"/>
      <c r="E68" s="117"/>
      <c r="F68" s="117"/>
      <c r="G68" s="117" t="s">
        <v>591</v>
      </c>
      <c r="H68" s="118" t="s">
        <v>616</v>
      </c>
      <c r="I68" s="71" t="s">
        <v>6</v>
      </c>
    </row>
    <row r="69" spans="1:13" s="30" customFormat="1" ht="34.5" x14ac:dyDescent="0.35">
      <c r="A69" s="116" t="s">
        <v>551</v>
      </c>
      <c r="B69" s="117" t="s">
        <v>590</v>
      </c>
      <c r="C69" s="117" t="s">
        <v>488</v>
      </c>
      <c r="D69" s="117"/>
      <c r="E69" s="117"/>
      <c r="F69" s="117"/>
      <c r="G69" s="117" t="s">
        <v>591</v>
      </c>
      <c r="H69" s="118" t="s">
        <v>553</v>
      </c>
      <c r="I69" s="71" t="s">
        <v>556</v>
      </c>
    </row>
    <row r="70" spans="1:13" s="30" customFormat="1" ht="17.25" x14ac:dyDescent="0.35">
      <c r="A70" s="116" t="s">
        <v>552</v>
      </c>
      <c r="B70" s="117" t="s">
        <v>592</v>
      </c>
      <c r="C70" s="117" t="s">
        <v>488</v>
      </c>
      <c r="D70" s="117"/>
      <c r="E70" s="117"/>
      <c r="F70" s="117"/>
      <c r="G70" s="117" t="s">
        <v>591</v>
      </c>
      <c r="H70" s="118" t="s">
        <v>554</v>
      </c>
      <c r="I70" s="71" t="s">
        <v>971</v>
      </c>
    </row>
    <row r="71" spans="1:13" s="30" customFormat="1" ht="17.25" x14ac:dyDescent="0.35">
      <c r="A71" s="116" t="s">
        <v>493</v>
      </c>
      <c r="B71" s="117" t="s">
        <v>593</v>
      </c>
      <c r="C71" s="117" t="s">
        <v>488</v>
      </c>
      <c r="D71" s="117"/>
      <c r="E71" s="117"/>
      <c r="F71" s="117"/>
      <c r="G71" s="117" t="s">
        <v>591</v>
      </c>
      <c r="H71" s="118" t="s">
        <v>494</v>
      </c>
      <c r="I71" s="71" t="s">
        <v>972</v>
      </c>
    </row>
    <row r="72" spans="1:13" s="30" customFormat="1" ht="17.25" x14ac:dyDescent="0.35">
      <c r="A72" s="116" t="s">
        <v>862</v>
      </c>
      <c r="B72" s="117" t="s">
        <v>863</v>
      </c>
      <c r="C72" s="117" t="s">
        <v>488</v>
      </c>
      <c r="D72" s="117"/>
      <c r="E72" s="117"/>
      <c r="F72" s="117"/>
      <c r="G72" s="117" t="s">
        <v>591</v>
      </c>
      <c r="H72" s="118" t="s">
        <v>909</v>
      </c>
      <c r="I72" s="71" t="s">
        <v>973</v>
      </c>
    </row>
    <row r="73" spans="1:13" s="30" customFormat="1" ht="17.25" x14ac:dyDescent="0.35">
      <c r="A73" s="116" t="s">
        <v>569</v>
      </c>
      <c r="B73" s="117" t="s">
        <v>570</v>
      </c>
      <c r="C73" s="117" t="s">
        <v>488</v>
      </c>
      <c r="D73" s="117"/>
      <c r="E73" s="117"/>
      <c r="F73" s="117"/>
      <c r="G73" s="117" t="s">
        <v>44</v>
      </c>
      <c r="H73" s="118" t="s">
        <v>571</v>
      </c>
      <c r="I73" s="71"/>
    </row>
    <row r="74" spans="1:13" s="30" customFormat="1" ht="17.25" x14ac:dyDescent="0.35">
      <c r="A74" s="116" t="s">
        <v>597</v>
      </c>
      <c r="B74" s="117" t="s">
        <v>598</v>
      </c>
      <c r="C74" s="117" t="s">
        <v>488</v>
      </c>
      <c r="D74" s="117"/>
      <c r="E74" s="117"/>
      <c r="F74" s="117"/>
      <c r="G74" s="117" t="s">
        <v>591</v>
      </c>
      <c r="H74" s="118" t="s">
        <v>599</v>
      </c>
      <c r="I74" s="71" t="s">
        <v>600</v>
      </c>
    </row>
    <row r="75" spans="1:13" s="30" customFormat="1" ht="17.25" x14ac:dyDescent="0.35">
      <c r="A75" s="116" t="s">
        <v>601</v>
      </c>
      <c r="B75" s="117" t="s">
        <v>602</v>
      </c>
      <c r="C75" s="117" t="s">
        <v>488</v>
      </c>
      <c r="D75" s="117"/>
      <c r="E75" s="117"/>
      <c r="F75" s="117"/>
      <c r="G75" s="117" t="s">
        <v>591</v>
      </c>
      <c r="H75" s="118" t="s">
        <v>603</v>
      </c>
      <c r="I75" s="71" t="s">
        <v>600</v>
      </c>
    </row>
    <row r="76" spans="1:13" s="30" customFormat="1" ht="17.25" x14ac:dyDescent="0.35">
      <c r="A76" s="116" t="s">
        <v>604</v>
      </c>
      <c r="B76" s="117" t="s">
        <v>605</v>
      </c>
      <c r="C76" s="117" t="s">
        <v>488</v>
      </c>
      <c r="D76" s="117"/>
      <c r="E76" s="117"/>
      <c r="F76" s="117"/>
      <c r="G76" s="117" t="s">
        <v>591</v>
      </c>
      <c r="H76" s="118" t="s">
        <v>606</v>
      </c>
      <c r="I76" s="71" t="s">
        <v>600</v>
      </c>
    </row>
    <row r="77" spans="1:13" s="30" customFormat="1" ht="17.25" x14ac:dyDescent="0.35">
      <c r="A77" s="116"/>
      <c r="B77" s="117"/>
      <c r="C77" s="117"/>
      <c r="D77" s="117"/>
      <c r="E77" s="117"/>
      <c r="F77" s="117"/>
      <c r="G77" s="117"/>
      <c r="H77" s="118"/>
      <c r="I77" s="71"/>
    </row>
    <row r="78" spans="1:13" ht="27.75" x14ac:dyDescent="0.35">
      <c r="A78" s="116" t="s">
        <v>578</v>
      </c>
      <c r="B78" s="117" t="s">
        <v>579</v>
      </c>
      <c r="C78" s="117" t="s">
        <v>488</v>
      </c>
      <c r="D78" s="117"/>
      <c r="E78" s="117"/>
      <c r="F78" s="117"/>
      <c r="G78" s="117" t="s">
        <v>44</v>
      </c>
      <c r="H78" s="118" t="s">
        <v>582</v>
      </c>
      <c r="I78" s="71">
        <v>69736</v>
      </c>
      <c r="J78" s="26"/>
      <c r="K78" s="26"/>
      <c r="L78" s="26"/>
      <c r="M78" s="26"/>
    </row>
    <row r="79" spans="1:13" ht="17.25" x14ac:dyDescent="0.35">
      <c r="A79" s="116" t="s">
        <v>580</v>
      </c>
      <c r="B79" s="117" t="s">
        <v>581</v>
      </c>
      <c r="C79" s="117" t="s">
        <v>488</v>
      </c>
      <c r="D79" s="117"/>
      <c r="E79" s="117"/>
      <c r="F79" s="117"/>
      <c r="G79" s="117" t="s">
        <v>44</v>
      </c>
      <c r="H79" s="118" t="s">
        <v>583</v>
      </c>
      <c r="I79" s="71">
        <v>69737</v>
      </c>
      <c r="J79" s="26"/>
      <c r="K79" s="26"/>
      <c r="L79" s="26"/>
      <c r="M79" s="26"/>
    </row>
    <row r="80" spans="1:13" ht="17.25" x14ac:dyDescent="0.35">
      <c r="A80" s="135" t="s">
        <v>920</v>
      </c>
      <c r="B80" s="136" t="s">
        <v>921</v>
      </c>
      <c r="C80" s="136" t="s">
        <v>488</v>
      </c>
      <c r="D80" s="136"/>
      <c r="E80" s="136"/>
      <c r="F80" s="136"/>
      <c r="G80" s="136" t="s">
        <v>591</v>
      </c>
      <c r="H80" s="137" t="s">
        <v>922</v>
      </c>
      <c r="I80" s="71"/>
      <c r="J80" s="26"/>
      <c r="K80" s="26"/>
      <c r="L80" s="26"/>
      <c r="M80" s="26"/>
    </row>
    <row r="81" spans="1:13" ht="17.25" x14ac:dyDescent="0.35">
      <c r="A81" s="135" t="s">
        <v>965</v>
      </c>
      <c r="B81" s="136" t="s">
        <v>966</v>
      </c>
      <c r="C81" s="136" t="s">
        <v>58</v>
      </c>
      <c r="D81" s="136"/>
      <c r="E81" s="136"/>
      <c r="F81" s="136"/>
      <c r="G81" s="136" t="s">
        <v>591</v>
      </c>
      <c r="H81" s="137"/>
      <c r="I81" s="71">
        <v>65633</v>
      </c>
      <c r="J81" s="26"/>
      <c r="K81" s="26"/>
      <c r="L81" s="26"/>
      <c r="M81" s="26"/>
    </row>
    <row r="82" spans="1:13" ht="17.25" x14ac:dyDescent="0.35">
      <c r="A82" s="135"/>
      <c r="B82" s="136"/>
      <c r="C82" s="136"/>
      <c r="D82" s="136" t="s">
        <v>36</v>
      </c>
      <c r="E82" s="136">
        <v>8</v>
      </c>
      <c r="F82" s="136" t="s">
        <v>967</v>
      </c>
      <c r="G82" s="136"/>
      <c r="H82" s="137"/>
      <c r="I82" s="71" t="s">
        <v>968</v>
      </c>
      <c r="J82" s="26"/>
      <c r="K82" s="26"/>
      <c r="L82" s="26"/>
      <c r="M82" s="26"/>
    </row>
    <row r="83" spans="1:13" s="26" customFormat="1" ht="18" thickBot="1" x14ac:dyDescent="0.4">
      <c r="A83" s="119"/>
      <c r="B83" s="120"/>
      <c r="C83" s="120"/>
      <c r="D83" s="120"/>
      <c r="E83" s="120"/>
      <c r="F83" s="120"/>
      <c r="G83" s="120"/>
      <c r="H83" s="121"/>
      <c r="I83" s="72"/>
    </row>
    <row r="84" spans="1:13" s="26" customFormat="1" x14ac:dyDescent="0.2">
      <c r="A84" s="13"/>
      <c r="B84" s="13"/>
      <c r="F84" s="39"/>
      <c r="H84" s="40"/>
    </row>
    <row r="85" spans="1:13" s="26" customFormat="1" ht="13.5" thickBot="1" x14ac:dyDescent="0.25">
      <c r="F85" s="39"/>
      <c r="H85" s="40"/>
    </row>
    <row r="86" spans="1:13" s="26" customFormat="1" ht="20.25" thickBot="1" x14ac:dyDescent="0.45">
      <c r="A86" s="187" t="s">
        <v>113</v>
      </c>
      <c r="B86" s="188"/>
      <c r="C86" s="188"/>
      <c r="D86" s="188"/>
      <c r="E86" s="188"/>
      <c r="F86" s="188"/>
      <c r="G86" s="188"/>
      <c r="H86" s="189"/>
      <c r="I86" s="33"/>
    </row>
    <row r="87" spans="1:13" s="26" customFormat="1" ht="15.75" thickBot="1" x14ac:dyDescent="0.35">
      <c r="A87" s="75" t="s">
        <v>130</v>
      </c>
      <c r="B87" s="76"/>
      <c r="C87" s="76" t="s">
        <v>33</v>
      </c>
      <c r="D87" s="75" t="s">
        <v>131</v>
      </c>
      <c r="E87" s="75" t="s">
        <v>132</v>
      </c>
      <c r="F87" s="75" t="s">
        <v>133</v>
      </c>
      <c r="G87" s="77" t="s">
        <v>40</v>
      </c>
      <c r="H87" s="78"/>
      <c r="I87" s="33"/>
    </row>
    <row r="88" spans="1:13" s="26" customFormat="1" x14ac:dyDescent="0.2">
      <c r="A88" s="163" t="s">
        <v>129</v>
      </c>
      <c r="B88" s="164"/>
      <c r="C88" s="165" t="s">
        <v>114</v>
      </c>
      <c r="D88" s="165"/>
      <c r="E88" s="165"/>
      <c r="F88" s="165"/>
      <c r="G88" s="165" t="s">
        <v>21</v>
      </c>
      <c r="H88" s="166"/>
      <c r="I88" s="33"/>
    </row>
    <row r="89" spans="1:13" s="26" customFormat="1" x14ac:dyDescent="0.2">
      <c r="A89" s="167" t="s">
        <v>115</v>
      </c>
      <c r="B89" s="168"/>
      <c r="C89" s="169"/>
      <c r="D89" s="169" t="s">
        <v>36</v>
      </c>
      <c r="E89" s="169">
        <v>1</v>
      </c>
      <c r="F89" s="169">
        <v>0</v>
      </c>
      <c r="G89" s="169"/>
      <c r="H89" s="170"/>
      <c r="I89" s="33"/>
    </row>
    <row r="90" spans="1:13" s="60" customFormat="1" x14ac:dyDescent="0.2">
      <c r="A90" s="167" t="s">
        <v>116</v>
      </c>
      <c r="B90" s="168"/>
      <c r="C90" s="169"/>
      <c r="D90" s="169" t="s">
        <v>36</v>
      </c>
      <c r="E90" s="169">
        <v>2</v>
      </c>
      <c r="F90" s="169">
        <v>2</v>
      </c>
      <c r="G90" s="169"/>
      <c r="H90" s="170"/>
      <c r="I90" s="33"/>
    </row>
    <row r="91" spans="1:13" s="26" customFormat="1" x14ac:dyDescent="0.2">
      <c r="A91" s="167" t="s">
        <v>117</v>
      </c>
      <c r="B91" s="168"/>
      <c r="C91" s="169"/>
      <c r="D91" s="169" t="s">
        <v>36</v>
      </c>
      <c r="E91" s="169">
        <v>2</v>
      </c>
      <c r="F91" s="169" t="s">
        <v>134</v>
      </c>
      <c r="G91" s="169"/>
      <c r="H91" s="170"/>
      <c r="I91" s="33"/>
    </row>
    <row r="92" spans="1:13" s="26" customFormat="1" x14ac:dyDescent="0.2">
      <c r="A92" s="167" t="s">
        <v>118</v>
      </c>
      <c r="B92" s="168"/>
      <c r="C92" s="169"/>
      <c r="D92" s="169" t="s">
        <v>36</v>
      </c>
      <c r="E92" s="169">
        <v>1</v>
      </c>
      <c r="F92" s="169" t="s">
        <v>4</v>
      </c>
      <c r="G92" s="169"/>
      <c r="H92" s="170"/>
      <c r="I92" s="33"/>
    </row>
    <row r="93" spans="1:13" s="26" customFormat="1" x14ac:dyDescent="0.2">
      <c r="A93" s="167" t="s">
        <v>119</v>
      </c>
      <c r="B93" s="168"/>
      <c r="C93" s="169"/>
      <c r="D93" s="169" t="s">
        <v>36</v>
      </c>
      <c r="E93" s="169">
        <v>2</v>
      </c>
      <c r="F93" s="169">
        <v>4</v>
      </c>
      <c r="G93" s="169"/>
      <c r="H93" s="170"/>
      <c r="I93" s="33"/>
    </row>
    <row r="94" spans="1:13" s="26" customFormat="1" x14ac:dyDescent="0.2">
      <c r="A94" s="171" t="s">
        <v>120</v>
      </c>
      <c r="B94" s="172"/>
      <c r="C94" s="173"/>
      <c r="D94" s="173" t="s">
        <v>36</v>
      </c>
      <c r="E94" s="173">
        <f>F93</f>
        <v>4</v>
      </c>
      <c r="F94" s="173" t="s">
        <v>1030</v>
      </c>
      <c r="G94" s="173"/>
      <c r="H94" s="174"/>
      <c r="I94" s="33"/>
    </row>
    <row r="95" spans="1:13" s="26" customFormat="1" x14ac:dyDescent="0.2">
      <c r="A95" s="167" t="s">
        <v>121</v>
      </c>
      <c r="B95" s="168"/>
      <c r="C95" s="169"/>
      <c r="D95" s="169" t="s">
        <v>36</v>
      </c>
      <c r="E95" s="169">
        <v>1</v>
      </c>
      <c r="F95" s="169" t="s">
        <v>5</v>
      </c>
      <c r="G95" s="169"/>
      <c r="H95" s="170"/>
      <c r="I95" s="33"/>
    </row>
    <row r="96" spans="1:13" s="26" customFormat="1" x14ac:dyDescent="0.2">
      <c r="A96" s="167" t="s">
        <v>122</v>
      </c>
      <c r="B96" s="168"/>
      <c r="C96" s="169"/>
      <c r="D96" s="169" t="s">
        <v>36</v>
      </c>
      <c r="E96" s="169">
        <v>2</v>
      </c>
      <c r="F96" s="169">
        <f>LEN(F97)</f>
        <v>17</v>
      </c>
      <c r="G96" s="169"/>
      <c r="H96" s="170"/>
      <c r="I96" s="33"/>
    </row>
    <row r="97" spans="1:9" s="26" customFormat="1" x14ac:dyDescent="0.2">
      <c r="A97" s="167" t="s">
        <v>123</v>
      </c>
      <c r="B97" s="168"/>
      <c r="C97" s="169"/>
      <c r="D97" s="169" t="s">
        <v>37</v>
      </c>
      <c r="E97" s="169">
        <f>F96</f>
        <v>17</v>
      </c>
      <c r="F97" s="169" t="s">
        <v>789</v>
      </c>
      <c r="G97" s="169"/>
      <c r="H97" s="170" t="s">
        <v>147</v>
      </c>
      <c r="I97" s="33"/>
    </row>
    <row r="98" spans="1:9" s="26" customFormat="1" x14ac:dyDescent="0.2">
      <c r="A98" s="167" t="s">
        <v>124</v>
      </c>
      <c r="B98" s="168"/>
      <c r="C98" s="169"/>
      <c r="D98" s="169" t="s">
        <v>36</v>
      </c>
      <c r="E98" s="169">
        <v>1</v>
      </c>
      <c r="F98" s="169" t="s">
        <v>135</v>
      </c>
      <c r="G98" s="169"/>
      <c r="H98" s="170"/>
      <c r="I98" s="33"/>
    </row>
    <row r="99" spans="1:9" s="26" customFormat="1" x14ac:dyDescent="0.2">
      <c r="A99" s="167" t="s">
        <v>125</v>
      </c>
      <c r="B99" s="168"/>
      <c r="C99" s="169"/>
      <c r="D99" s="169" t="s">
        <v>36</v>
      </c>
      <c r="E99" s="169">
        <v>2</v>
      </c>
      <c r="F99" s="169">
        <f>E100+E101+(F101*E102)</f>
        <v>18</v>
      </c>
      <c r="G99" s="169"/>
      <c r="H99" s="170"/>
      <c r="I99" s="33"/>
    </row>
    <row r="100" spans="1:9" x14ac:dyDescent="0.2">
      <c r="A100" s="167" t="s">
        <v>126</v>
      </c>
      <c r="B100" s="168"/>
      <c r="C100" s="169"/>
      <c r="D100" s="169" t="s">
        <v>36</v>
      </c>
      <c r="E100" s="169">
        <v>1</v>
      </c>
      <c r="F100" s="169">
        <v>0</v>
      </c>
      <c r="G100" s="169"/>
      <c r="H100" s="170"/>
    </row>
    <row r="101" spans="1:9" x14ac:dyDescent="0.2">
      <c r="A101" s="167" t="s">
        <v>127</v>
      </c>
      <c r="B101" s="168"/>
      <c r="C101" s="169"/>
      <c r="D101" s="169" t="s">
        <v>36</v>
      </c>
      <c r="E101" s="169">
        <v>1</v>
      </c>
      <c r="F101" s="169">
        <f>LEN(F102)-LEN(SUBSTITUTE(F102,",",""))+1</f>
        <v>4</v>
      </c>
      <c r="G101" s="169"/>
      <c r="H101" s="170"/>
    </row>
    <row r="102" spans="1:9" ht="25.5" x14ac:dyDescent="0.2">
      <c r="A102" s="167" t="s">
        <v>128</v>
      </c>
      <c r="B102" s="168"/>
      <c r="C102" s="169"/>
      <c r="D102" s="169" t="s">
        <v>43</v>
      </c>
      <c r="E102" s="169">
        <v>4</v>
      </c>
      <c r="F102" s="169" t="s">
        <v>997</v>
      </c>
      <c r="G102" s="169"/>
      <c r="H102" s="170"/>
    </row>
    <row r="103" spans="1:9" x14ac:dyDescent="0.2">
      <c r="A103" s="167" t="s">
        <v>390</v>
      </c>
      <c r="B103" s="168"/>
      <c r="C103" s="169"/>
      <c r="D103" s="169" t="s">
        <v>36</v>
      </c>
      <c r="E103" s="169">
        <v>1</v>
      </c>
      <c r="F103" s="169" t="s">
        <v>391</v>
      </c>
      <c r="G103" s="169"/>
      <c r="H103" s="170"/>
    </row>
    <row r="104" spans="1:9" x14ac:dyDescent="0.2">
      <c r="A104" s="167" t="s">
        <v>392</v>
      </c>
      <c r="B104" s="168"/>
      <c r="C104" s="169"/>
      <c r="D104" s="169" t="s">
        <v>36</v>
      </c>
      <c r="E104" s="169">
        <v>2</v>
      </c>
      <c r="F104" s="169">
        <v>4</v>
      </c>
      <c r="G104" s="169"/>
      <c r="H104" s="170"/>
    </row>
    <row r="105" spans="1:9" x14ac:dyDescent="0.2">
      <c r="A105" s="171" t="s">
        <v>393</v>
      </c>
      <c r="B105" s="172"/>
      <c r="C105" s="173"/>
      <c r="D105" s="173" t="s">
        <v>36</v>
      </c>
      <c r="E105" s="173">
        <v>4</v>
      </c>
      <c r="F105" s="173" t="str">
        <f>$F$94</f>
        <v>0x05011F01</v>
      </c>
      <c r="G105" s="173"/>
      <c r="H105" s="174"/>
    </row>
    <row r="106" spans="1:9" x14ac:dyDescent="0.2">
      <c r="A106" s="167" t="s">
        <v>988</v>
      </c>
      <c r="B106" s="168"/>
      <c r="C106" s="169"/>
      <c r="D106" s="169" t="s">
        <v>36</v>
      </c>
      <c r="E106" s="169">
        <v>1</v>
      </c>
      <c r="F106" s="169" t="s">
        <v>417</v>
      </c>
      <c r="G106" s="169"/>
      <c r="H106" s="170"/>
    </row>
    <row r="107" spans="1:9" x14ac:dyDescent="0.2">
      <c r="A107" s="167" t="s">
        <v>989</v>
      </c>
      <c r="B107" s="168"/>
      <c r="C107" s="169"/>
      <c r="D107" s="169" t="s">
        <v>36</v>
      </c>
      <c r="E107" s="169">
        <v>2</v>
      </c>
      <c r="F107" s="169">
        <f>2+F109*E110*2</f>
        <v>6</v>
      </c>
      <c r="G107" s="169"/>
      <c r="H107" s="170"/>
    </row>
    <row r="108" spans="1:9" x14ac:dyDescent="0.2">
      <c r="A108" s="167" t="s">
        <v>990</v>
      </c>
      <c r="B108" s="168"/>
      <c r="C108" s="169"/>
      <c r="D108" s="169" t="s">
        <v>36</v>
      </c>
      <c r="E108" s="169">
        <v>1</v>
      </c>
      <c r="F108" s="169">
        <v>0</v>
      </c>
      <c r="G108" s="169"/>
      <c r="H108" s="170" t="s">
        <v>991</v>
      </c>
    </row>
    <row r="109" spans="1:9" x14ac:dyDescent="0.2">
      <c r="A109" s="167" t="s">
        <v>992</v>
      </c>
      <c r="B109" s="168"/>
      <c r="C109" s="169"/>
      <c r="D109" s="169" t="s">
        <v>36</v>
      </c>
      <c r="E109" s="169">
        <v>1</v>
      </c>
      <c r="F109" s="169">
        <f>SUM(LEN(F110)-LEN(SUBSTITUTE(F110,"-","")))</f>
        <v>1</v>
      </c>
      <c r="G109" s="169"/>
      <c r="H109" s="170" t="s">
        <v>993</v>
      </c>
    </row>
    <row r="110" spans="1:9" x14ac:dyDescent="0.2">
      <c r="A110" s="167" t="s">
        <v>994</v>
      </c>
      <c r="B110" s="168"/>
      <c r="C110" s="169"/>
      <c r="D110" s="169" t="s">
        <v>43</v>
      </c>
      <c r="E110" s="169">
        <v>2</v>
      </c>
      <c r="F110" s="169" t="s">
        <v>1029</v>
      </c>
      <c r="G110" s="169"/>
      <c r="H110" s="170"/>
    </row>
    <row r="111" spans="1:9" x14ac:dyDescent="0.2">
      <c r="A111" s="167" t="s">
        <v>935</v>
      </c>
      <c r="B111" s="168"/>
      <c r="C111" s="169"/>
      <c r="D111" s="169" t="s">
        <v>36</v>
      </c>
      <c r="E111" s="169">
        <v>1</v>
      </c>
      <c r="F111" s="169" t="s">
        <v>465</v>
      </c>
      <c r="G111" s="169"/>
      <c r="H111" s="170"/>
    </row>
    <row r="112" spans="1:9" x14ac:dyDescent="0.2">
      <c r="A112" s="167" t="s">
        <v>936</v>
      </c>
      <c r="B112" s="168"/>
      <c r="C112" s="169"/>
      <c r="D112" s="169" t="s">
        <v>36</v>
      </c>
      <c r="E112" s="169">
        <v>2</v>
      </c>
      <c r="F112" s="169">
        <v>4</v>
      </c>
      <c r="G112" s="169"/>
      <c r="H112" s="170"/>
    </row>
    <row r="113" spans="1:8" ht="102.75" thickBot="1" x14ac:dyDescent="0.25">
      <c r="A113" s="175" t="s">
        <v>937</v>
      </c>
      <c r="B113" s="176"/>
      <c r="C113" s="177"/>
      <c r="D113" s="177" t="s">
        <v>36</v>
      </c>
      <c r="E113" s="177">
        <v>4</v>
      </c>
      <c r="F113" s="177" t="s">
        <v>940</v>
      </c>
      <c r="G113" s="177"/>
      <c r="H113" s="178" t="s">
        <v>939</v>
      </c>
    </row>
  </sheetData>
  <mergeCells count="3">
    <mergeCell ref="A2:I2"/>
    <mergeCell ref="A4:H4"/>
    <mergeCell ref="A86:H86"/>
  </mergeCells>
  <conditionalFormatting sqref="B114:B1048576 B84:B87 B1:B5 B35:B37">
    <cfRule type="duplicateValues" dxfId="18" priority="22"/>
  </conditionalFormatting>
  <conditionalFormatting sqref="B1:B5 B35:B37 B114:B1048576 B84:B87">
    <cfRule type="containsText" dxfId="17" priority="21" operator="containsText" text="ims">
      <formula>NOT(ISERROR(SEARCH("ims",B1)))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M616"/>
  <sheetViews>
    <sheetView topLeftCell="B594" zoomScale="85" zoomScaleNormal="85" workbookViewId="0">
      <selection activeCell="F598" sqref="F598"/>
    </sheetView>
  </sheetViews>
  <sheetFormatPr defaultColWidth="9.140625" defaultRowHeight="12.75" x14ac:dyDescent="0.2"/>
  <cols>
    <col min="1" max="1" width="43.85546875" style="33" customWidth="1"/>
    <col min="2" max="2" width="68" style="33" customWidth="1"/>
    <col min="3" max="3" width="13.7109375" style="33" customWidth="1"/>
    <col min="4" max="4" width="13.85546875" style="33" bestFit="1" customWidth="1"/>
    <col min="5" max="5" width="34" style="33" customWidth="1"/>
    <col min="6" max="6" width="30.5703125" style="19" customWidth="1"/>
    <col min="7" max="7" width="10.42578125" style="33" bestFit="1" customWidth="1"/>
    <col min="8" max="8" width="68.5703125" style="20" customWidth="1"/>
    <col min="9" max="9" width="49.5703125" style="33" customWidth="1"/>
    <col min="10" max="16384" width="9.140625" style="33"/>
  </cols>
  <sheetData>
    <row r="1" spans="1:9" s="26" customFormat="1" x14ac:dyDescent="0.2">
      <c r="F1" s="39"/>
      <c r="H1" s="40"/>
    </row>
    <row r="2" spans="1:9" s="53" customFormat="1" ht="27.75" x14ac:dyDescent="0.55000000000000004">
      <c r="A2" s="183" t="s">
        <v>471</v>
      </c>
      <c r="B2" s="183"/>
      <c r="C2" s="183"/>
      <c r="D2" s="183"/>
      <c r="E2" s="183"/>
      <c r="F2" s="183"/>
      <c r="G2" s="183"/>
      <c r="H2" s="183"/>
      <c r="I2" s="183"/>
    </row>
    <row r="3" spans="1:9" s="26" customFormat="1" ht="13.5" thickBot="1" x14ac:dyDescent="0.25">
      <c r="A3" s="13"/>
      <c r="F3" s="39"/>
      <c r="H3" s="40"/>
    </row>
    <row r="4" spans="1:9" s="36" customFormat="1" ht="20.25" thickBot="1" x14ac:dyDescent="0.45">
      <c r="A4" s="184" t="s">
        <v>311</v>
      </c>
      <c r="B4" s="185"/>
      <c r="C4" s="185"/>
      <c r="D4" s="185"/>
      <c r="E4" s="185"/>
      <c r="F4" s="185"/>
      <c r="G4" s="185"/>
      <c r="H4" s="186"/>
    </row>
    <row r="5" spans="1:9" s="38" customFormat="1" ht="15.75" thickBot="1" x14ac:dyDescent="0.35">
      <c r="A5" s="37" t="s">
        <v>8</v>
      </c>
      <c r="B5" s="48" t="s">
        <v>7</v>
      </c>
      <c r="C5" s="37" t="s">
        <v>33</v>
      </c>
      <c r="D5" s="37" t="s">
        <v>34</v>
      </c>
      <c r="E5" s="37" t="s">
        <v>9</v>
      </c>
      <c r="F5" s="37" t="s">
        <v>35</v>
      </c>
      <c r="G5" s="47" t="s">
        <v>40</v>
      </c>
      <c r="H5" s="49" t="s">
        <v>10</v>
      </c>
    </row>
    <row r="6" spans="1:9" s="18" customFormat="1" ht="15" x14ac:dyDescent="0.3">
      <c r="A6" s="110" t="s">
        <v>13</v>
      </c>
      <c r="B6" s="101">
        <v>71</v>
      </c>
      <c r="C6" s="101"/>
      <c r="D6" s="101"/>
      <c r="E6" s="107" t="s">
        <v>14</v>
      </c>
      <c r="F6" s="101"/>
      <c r="G6" s="101" t="s">
        <v>44</v>
      </c>
      <c r="H6" s="104"/>
    </row>
    <row r="7" spans="1:9" s="18" customFormat="1" ht="15" x14ac:dyDescent="0.3">
      <c r="A7" s="111"/>
      <c r="B7" s="102"/>
      <c r="C7" s="102" t="s">
        <v>37</v>
      </c>
      <c r="D7" s="102">
        <v>13</v>
      </c>
      <c r="E7" s="108" t="s">
        <v>15</v>
      </c>
      <c r="F7" s="102" t="s">
        <v>791</v>
      </c>
      <c r="G7" s="102"/>
      <c r="H7" s="105" t="s">
        <v>137</v>
      </c>
    </row>
    <row r="8" spans="1:9" s="26" customFormat="1" x14ac:dyDescent="0.2">
      <c r="A8" s="111" t="s">
        <v>396</v>
      </c>
      <c r="B8" s="102">
        <v>75</v>
      </c>
      <c r="C8" s="102"/>
      <c r="D8" s="102"/>
      <c r="E8" s="108" t="s">
        <v>397</v>
      </c>
      <c r="F8" s="102"/>
      <c r="G8" s="102" t="s">
        <v>44</v>
      </c>
      <c r="H8" s="105"/>
      <c r="I8" s="30"/>
    </row>
    <row r="9" spans="1:9" s="26" customFormat="1" x14ac:dyDescent="0.2">
      <c r="A9" s="111"/>
      <c r="B9" s="102"/>
      <c r="C9" s="102" t="s">
        <v>36</v>
      </c>
      <c r="D9" s="102">
        <v>1</v>
      </c>
      <c r="E9" s="108" t="s">
        <v>394</v>
      </c>
      <c r="F9" s="102">
        <v>1</v>
      </c>
      <c r="G9" s="102"/>
      <c r="H9" s="105"/>
      <c r="I9" s="30"/>
    </row>
    <row r="10" spans="1:9" s="26" customFormat="1" x14ac:dyDescent="0.2">
      <c r="A10" s="111"/>
      <c r="B10" s="102"/>
      <c r="C10" s="102" t="s">
        <v>36</v>
      </c>
      <c r="D10" s="102">
        <v>1</v>
      </c>
      <c r="E10" s="108" t="s">
        <v>395</v>
      </c>
      <c r="F10" s="102">
        <v>1</v>
      </c>
      <c r="G10" s="102"/>
      <c r="H10" s="105"/>
      <c r="I10" s="30"/>
    </row>
    <row r="11" spans="1:9" s="26" customFormat="1" x14ac:dyDescent="0.2">
      <c r="A11" s="111" t="s">
        <v>398</v>
      </c>
      <c r="B11" s="102">
        <v>848</v>
      </c>
      <c r="C11" s="102"/>
      <c r="D11" s="102"/>
      <c r="E11" s="108"/>
      <c r="F11" s="102"/>
      <c r="G11" s="102" t="s">
        <v>112</v>
      </c>
      <c r="H11" s="105"/>
      <c r="I11" s="30"/>
    </row>
    <row r="12" spans="1:9" s="26" customFormat="1" x14ac:dyDescent="0.2">
      <c r="A12" s="111"/>
      <c r="B12" s="102"/>
      <c r="C12" s="102" t="s">
        <v>36</v>
      </c>
      <c r="D12" s="102">
        <v>1</v>
      </c>
      <c r="E12" s="108" t="s">
        <v>11</v>
      </c>
      <c r="F12" s="102">
        <v>0</v>
      </c>
      <c r="G12" s="102"/>
      <c r="H12" s="105"/>
      <c r="I12" s="30"/>
    </row>
    <row r="13" spans="1:9" s="26" customFormat="1" ht="38.25" x14ac:dyDescent="0.2">
      <c r="A13" s="111"/>
      <c r="B13" s="102"/>
      <c r="C13" s="102" t="s">
        <v>36</v>
      </c>
      <c r="D13" s="102">
        <v>2</v>
      </c>
      <c r="E13" s="108" t="s">
        <v>399</v>
      </c>
      <c r="F13" s="102">
        <v>0</v>
      </c>
      <c r="G13" s="102"/>
      <c r="H13" s="105" t="s">
        <v>456</v>
      </c>
      <c r="I13" s="30"/>
    </row>
    <row r="14" spans="1:9" s="26" customFormat="1" x14ac:dyDescent="0.2">
      <c r="A14" s="111" t="s">
        <v>400</v>
      </c>
      <c r="B14" s="102">
        <v>849</v>
      </c>
      <c r="C14" s="102"/>
      <c r="D14" s="102"/>
      <c r="E14" s="108"/>
      <c r="F14" s="102"/>
      <c r="G14" s="102" t="s">
        <v>112</v>
      </c>
      <c r="H14" s="105"/>
      <c r="I14" s="30"/>
    </row>
    <row r="15" spans="1:9" s="26" customFormat="1" x14ac:dyDescent="0.2">
      <c r="A15" s="111"/>
      <c r="B15" s="102"/>
      <c r="C15" s="102" t="s">
        <v>36</v>
      </c>
      <c r="D15" s="102">
        <v>1</v>
      </c>
      <c r="E15" s="108" t="s">
        <v>11</v>
      </c>
      <c r="F15" s="102">
        <v>0</v>
      </c>
      <c r="G15" s="102"/>
      <c r="H15" s="105"/>
      <c r="I15" s="30"/>
    </row>
    <row r="16" spans="1:9" s="26" customFormat="1" ht="25.5" x14ac:dyDescent="0.2">
      <c r="A16" s="111"/>
      <c r="B16" s="102"/>
      <c r="C16" s="102" t="s">
        <v>36</v>
      </c>
      <c r="D16" s="102">
        <v>2</v>
      </c>
      <c r="E16" s="108" t="s">
        <v>401</v>
      </c>
      <c r="F16" s="102">
        <v>0</v>
      </c>
      <c r="G16" s="102"/>
      <c r="H16" s="105" t="s">
        <v>420</v>
      </c>
      <c r="I16" s="30"/>
    </row>
    <row r="17" spans="1:9" s="26" customFormat="1" x14ac:dyDescent="0.2">
      <c r="A17" s="111" t="s">
        <v>48</v>
      </c>
      <c r="B17" s="102">
        <v>880</v>
      </c>
      <c r="C17" s="102" t="s">
        <v>36</v>
      </c>
      <c r="D17" s="102">
        <v>1</v>
      </c>
      <c r="E17" s="108" t="s">
        <v>138</v>
      </c>
      <c r="F17" s="102" t="s">
        <v>4</v>
      </c>
      <c r="G17" s="102" t="s">
        <v>44</v>
      </c>
      <c r="H17" s="105"/>
      <c r="I17" s="30"/>
    </row>
    <row r="18" spans="1:9" s="26" customFormat="1" x14ac:dyDescent="0.2">
      <c r="A18" s="111" t="s">
        <v>49</v>
      </c>
      <c r="B18" s="102">
        <v>881</v>
      </c>
      <c r="C18" s="102" t="s">
        <v>36</v>
      </c>
      <c r="D18" s="102">
        <v>1</v>
      </c>
      <c r="E18" s="108" t="s">
        <v>139</v>
      </c>
      <c r="F18" s="102" t="s">
        <v>4</v>
      </c>
      <c r="G18" s="102" t="s">
        <v>44</v>
      </c>
      <c r="H18" s="105"/>
      <c r="I18" s="30"/>
    </row>
    <row r="19" spans="1:9" s="26" customFormat="1" x14ac:dyDescent="0.2">
      <c r="A19" s="111" t="s">
        <v>50</v>
      </c>
      <c r="B19" s="102">
        <v>882</v>
      </c>
      <c r="C19" s="102" t="s">
        <v>36</v>
      </c>
      <c r="D19" s="102">
        <v>1</v>
      </c>
      <c r="E19" s="108" t="s">
        <v>140</v>
      </c>
      <c r="F19" s="102" t="s">
        <v>21</v>
      </c>
      <c r="G19" s="102" t="s">
        <v>44</v>
      </c>
      <c r="H19" s="105"/>
      <c r="I19" s="30"/>
    </row>
    <row r="20" spans="1:9" s="26" customFormat="1" ht="51" x14ac:dyDescent="0.2">
      <c r="A20" s="111" t="s">
        <v>402</v>
      </c>
      <c r="B20" s="102">
        <v>909</v>
      </c>
      <c r="C20" s="102" t="s">
        <v>36</v>
      </c>
      <c r="D20" s="102">
        <v>1</v>
      </c>
      <c r="E20" s="108" t="s">
        <v>403</v>
      </c>
      <c r="F20" s="102">
        <v>2</v>
      </c>
      <c r="G20" s="102" t="s">
        <v>44</v>
      </c>
      <c r="H20" s="105" t="s">
        <v>404</v>
      </c>
      <c r="I20" s="30"/>
    </row>
    <row r="21" spans="1:9" s="26" customFormat="1" x14ac:dyDescent="0.2">
      <c r="A21" s="111" t="s">
        <v>405</v>
      </c>
      <c r="B21" s="102">
        <v>3628</v>
      </c>
      <c r="C21" s="102" t="s">
        <v>36</v>
      </c>
      <c r="D21" s="102">
        <v>1</v>
      </c>
      <c r="E21" s="108" t="s">
        <v>406</v>
      </c>
      <c r="F21" s="102">
        <v>1</v>
      </c>
      <c r="G21" s="102" t="s">
        <v>44</v>
      </c>
      <c r="H21" s="105" t="s">
        <v>407</v>
      </c>
      <c r="I21" s="30"/>
    </row>
    <row r="22" spans="1:9" s="26" customFormat="1" ht="102" x14ac:dyDescent="0.2">
      <c r="A22" s="111" t="s">
        <v>408</v>
      </c>
      <c r="B22" s="102">
        <v>6850</v>
      </c>
      <c r="C22" s="102" t="s">
        <v>36</v>
      </c>
      <c r="D22" s="102">
        <v>1</v>
      </c>
      <c r="E22" s="108" t="s">
        <v>409</v>
      </c>
      <c r="F22" s="102" t="s">
        <v>881</v>
      </c>
      <c r="G22" s="102" t="s">
        <v>44</v>
      </c>
      <c r="H22" s="105" t="s">
        <v>463</v>
      </c>
      <c r="I22" s="30"/>
    </row>
    <row r="23" spans="1:9" s="26" customFormat="1" ht="51" x14ac:dyDescent="0.2">
      <c r="A23" s="111" t="s">
        <v>410</v>
      </c>
      <c r="B23" s="102">
        <v>4117</v>
      </c>
      <c r="C23" s="102" t="s">
        <v>36</v>
      </c>
      <c r="D23" s="102">
        <v>1</v>
      </c>
      <c r="E23" s="108" t="s">
        <v>411</v>
      </c>
      <c r="F23" s="102">
        <v>0</v>
      </c>
      <c r="G23" s="102" t="s">
        <v>44</v>
      </c>
      <c r="H23" s="105" t="s">
        <v>412</v>
      </c>
      <c r="I23" s="30"/>
    </row>
    <row r="24" spans="1:9" s="26" customFormat="1" ht="51" x14ac:dyDescent="0.2">
      <c r="A24" s="111" t="s">
        <v>413</v>
      </c>
      <c r="B24" s="102">
        <v>4722</v>
      </c>
      <c r="C24" s="102" t="s">
        <v>36</v>
      </c>
      <c r="D24" s="102">
        <v>1</v>
      </c>
      <c r="E24" s="108" t="s">
        <v>414</v>
      </c>
      <c r="F24" s="102">
        <v>3</v>
      </c>
      <c r="G24" s="102" t="s">
        <v>44</v>
      </c>
      <c r="H24" s="105" t="s">
        <v>415</v>
      </c>
      <c r="I24" s="30"/>
    </row>
    <row r="25" spans="1:9" s="26" customFormat="1" x14ac:dyDescent="0.2">
      <c r="A25" s="111" t="s">
        <v>148</v>
      </c>
      <c r="B25" s="102">
        <v>562</v>
      </c>
      <c r="C25" s="102" t="s">
        <v>36</v>
      </c>
      <c r="D25" s="102">
        <v>1</v>
      </c>
      <c r="E25" s="108" t="s">
        <v>149</v>
      </c>
      <c r="F25" s="102">
        <v>1</v>
      </c>
      <c r="G25" s="102" t="s">
        <v>44</v>
      </c>
      <c r="H25" s="105" t="s">
        <v>12</v>
      </c>
      <c r="I25" s="30"/>
    </row>
    <row r="26" spans="1:9" s="26" customFormat="1" x14ac:dyDescent="0.2">
      <c r="A26" s="111" t="s">
        <v>47</v>
      </c>
      <c r="B26" s="102">
        <v>855</v>
      </c>
      <c r="C26" s="102" t="s">
        <v>36</v>
      </c>
      <c r="D26" s="102">
        <v>2</v>
      </c>
      <c r="E26" s="108" t="s">
        <v>16</v>
      </c>
      <c r="F26" s="102">
        <v>0</v>
      </c>
      <c r="G26" s="102" t="s">
        <v>44</v>
      </c>
      <c r="H26" s="105" t="s">
        <v>142</v>
      </c>
      <c r="I26" s="30"/>
    </row>
    <row r="27" spans="1:9" s="26" customFormat="1" x14ac:dyDescent="0.2">
      <c r="A27" s="111" t="s">
        <v>52</v>
      </c>
      <c r="B27" s="102">
        <v>6862</v>
      </c>
      <c r="C27" s="102" t="s">
        <v>36</v>
      </c>
      <c r="D27" s="102">
        <v>1</v>
      </c>
      <c r="E27" s="108"/>
      <c r="F27" s="102">
        <v>1</v>
      </c>
      <c r="G27" s="102" t="s">
        <v>44</v>
      </c>
      <c r="H27" s="105" t="s">
        <v>6</v>
      </c>
      <c r="I27" s="30"/>
    </row>
    <row r="28" spans="1:9" s="26" customFormat="1" x14ac:dyDescent="0.2">
      <c r="A28" s="111" t="s">
        <v>51</v>
      </c>
      <c r="B28" s="102">
        <v>4265</v>
      </c>
      <c r="C28" s="102" t="s">
        <v>36</v>
      </c>
      <c r="D28" s="102">
        <v>1</v>
      </c>
      <c r="E28" s="108"/>
      <c r="F28" s="102" t="s">
        <v>21</v>
      </c>
      <c r="G28" s="102" t="s">
        <v>44</v>
      </c>
      <c r="H28" s="105"/>
      <c r="I28" s="30"/>
    </row>
    <row r="29" spans="1:9" s="26" customFormat="1" x14ac:dyDescent="0.2">
      <c r="A29" s="111" t="s">
        <v>168</v>
      </c>
      <c r="B29" s="102">
        <v>6831</v>
      </c>
      <c r="C29" s="102" t="s">
        <v>36</v>
      </c>
      <c r="D29" s="102">
        <v>1</v>
      </c>
      <c r="E29" s="108"/>
      <c r="F29" s="102">
        <v>10</v>
      </c>
      <c r="G29" s="102" t="s">
        <v>44</v>
      </c>
      <c r="H29" s="105"/>
      <c r="I29" s="30"/>
    </row>
    <row r="30" spans="1:9" s="26" customFormat="1" ht="38.25" x14ac:dyDescent="0.2">
      <c r="A30" s="111" t="s">
        <v>584</v>
      </c>
      <c r="B30" s="102">
        <v>1016</v>
      </c>
      <c r="C30" s="102" t="s">
        <v>36</v>
      </c>
      <c r="D30" s="102">
        <v>1</v>
      </c>
      <c r="E30" s="108" t="s">
        <v>585</v>
      </c>
      <c r="F30" s="102">
        <v>1</v>
      </c>
      <c r="G30" s="102" t="s">
        <v>44</v>
      </c>
      <c r="H30" s="105" t="s">
        <v>586</v>
      </c>
      <c r="I30" s="30"/>
    </row>
    <row r="31" spans="1:9" s="26" customFormat="1" ht="51" x14ac:dyDescent="0.2">
      <c r="A31" s="111" t="s">
        <v>587</v>
      </c>
      <c r="B31" s="102">
        <v>1017</v>
      </c>
      <c r="C31" s="102" t="s">
        <v>36</v>
      </c>
      <c r="D31" s="102">
        <v>1</v>
      </c>
      <c r="E31" s="108" t="s">
        <v>588</v>
      </c>
      <c r="F31" s="102">
        <v>2</v>
      </c>
      <c r="G31" s="102" t="s">
        <v>44</v>
      </c>
      <c r="H31" s="105" t="s">
        <v>589</v>
      </c>
      <c r="I31" s="30"/>
    </row>
    <row r="32" spans="1:9" s="26" customFormat="1" x14ac:dyDescent="0.2">
      <c r="A32" s="111" t="s">
        <v>418</v>
      </c>
      <c r="B32" s="102">
        <v>1896</v>
      </c>
      <c r="C32" s="102" t="s">
        <v>36</v>
      </c>
      <c r="D32" s="102">
        <v>1</v>
      </c>
      <c r="E32" s="108" t="s">
        <v>419</v>
      </c>
      <c r="F32" s="102">
        <v>1</v>
      </c>
      <c r="G32" s="102" t="s">
        <v>44</v>
      </c>
      <c r="H32" s="105"/>
      <c r="I32" s="30"/>
    </row>
    <row r="33" spans="1:13" s="62" customFormat="1" x14ac:dyDescent="0.2">
      <c r="A33" s="111" t="s">
        <v>478</v>
      </c>
      <c r="B33" s="102">
        <v>5895</v>
      </c>
      <c r="C33" s="102" t="s">
        <v>36</v>
      </c>
      <c r="D33" s="102">
        <v>1</v>
      </c>
      <c r="E33" s="108" t="s">
        <v>479</v>
      </c>
      <c r="F33" s="102" t="s">
        <v>4</v>
      </c>
      <c r="G33" s="102" t="s">
        <v>44</v>
      </c>
      <c r="H33" s="105">
        <v>5895</v>
      </c>
      <c r="I33" s="26"/>
      <c r="J33" s="26"/>
      <c r="K33" s="26"/>
      <c r="L33" s="26"/>
      <c r="M33" s="26"/>
    </row>
    <row r="34" spans="1:13" s="26" customFormat="1" ht="13.5" thickBot="1" x14ac:dyDescent="0.25">
      <c r="A34" s="112" t="s">
        <v>466</v>
      </c>
      <c r="B34" s="103">
        <v>4432</v>
      </c>
      <c r="C34" s="103" t="s">
        <v>36</v>
      </c>
      <c r="D34" s="103">
        <v>1</v>
      </c>
      <c r="E34" s="109" t="s">
        <v>464</v>
      </c>
      <c r="F34" s="103" t="s">
        <v>465</v>
      </c>
      <c r="G34" s="103" t="s">
        <v>44</v>
      </c>
      <c r="H34" s="106" t="s">
        <v>467</v>
      </c>
    </row>
    <row r="35" spans="1:13" s="26" customFormat="1" ht="15.75" thickBot="1" x14ac:dyDescent="0.35">
      <c r="A35" s="44"/>
      <c r="B35" s="45"/>
      <c r="C35" s="35"/>
      <c r="D35" s="35"/>
      <c r="E35" s="35"/>
      <c r="F35" s="28"/>
      <c r="G35" s="35"/>
      <c r="H35" s="43"/>
    </row>
    <row r="36" spans="1:13" s="26" customFormat="1" ht="20.25" thickBot="1" x14ac:dyDescent="0.45">
      <c r="A36" s="50" t="s">
        <v>39</v>
      </c>
      <c r="B36" s="51"/>
      <c r="C36" s="51"/>
      <c r="D36" s="51"/>
      <c r="E36" s="51"/>
      <c r="F36" s="51"/>
      <c r="G36" s="51"/>
      <c r="H36" s="52"/>
      <c r="I36" s="41"/>
    </row>
    <row r="37" spans="1:13" s="13" customFormat="1" ht="15.75" thickBot="1" x14ac:dyDescent="0.35">
      <c r="A37" s="46" t="s">
        <v>25</v>
      </c>
      <c r="B37" s="47" t="s">
        <v>26</v>
      </c>
      <c r="C37" s="47" t="s">
        <v>33</v>
      </c>
      <c r="D37" s="46" t="s">
        <v>42</v>
      </c>
      <c r="E37" s="46" t="s">
        <v>41</v>
      </c>
      <c r="F37" s="46" t="s">
        <v>35</v>
      </c>
      <c r="G37" s="42" t="s">
        <v>40</v>
      </c>
      <c r="H37" s="58" t="s">
        <v>45</v>
      </c>
      <c r="I37" s="59" t="s">
        <v>27</v>
      </c>
    </row>
    <row r="38" spans="1:13" s="13" customFormat="1" ht="17.25" x14ac:dyDescent="0.35">
      <c r="A38" s="113" t="s">
        <v>474</v>
      </c>
      <c r="B38" s="114" t="s">
        <v>475</v>
      </c>
      <c r="C38" s="114" t="s">
        <v>58</v>
      </c>
      <c r="D38" s="114"/>
      <c r="E38" s="114"/>
      <c r="F38" s="114"/>
      <c r="G38" s="114" t="s">
        <v>44</v>
      </c>
      <c r="H38" s="115"/>
      <c r="I38" s="73">
        <v>70222</v>
      </c>
    </row>
    <row r="39" spans="1:13" s="13" customFormat="1" ht="17.25" x14ac:dyDescent="0.35">
      <c r="A39" s="116"/>
      <c r="B39" s="117"/>
      <c r="C39" s="117"/>
      <c r="D39" s="117" t="s">
        <v>36</v>
      </c>
      <c r="E39" s="117">
        <v>1</v>
      </c>
      <c r="F39" s="117">
        <v>1</v>
      </c>
      <c r="G39" s="117"/>
      <c r="H39" s="118"/>
      <c r="I39" s="71"/>
    </row>
    <row r="40" spans="1:13" s="30" customFormat="1" ht="17.25" x14ac:dyDescent="0.35">
      <c r="A40" s="116" t="s">
        <v>425</v>
      </c>
      <c r="B40" s="117" t="s">
        <v>426</v>
      </c>
      <c r="C40" s="117" t="s">
        <v>58</v>
      </c>
      <c r="D40" s="117"/>
      <c r="E40" s="117"/>
      <c r="F40" s="117"/>
      <c r="G40" s="117" t="s">
        <v>44</v>
      </c>
      <c r="H40" s="118" t="s">
        <v>6</v>
      </c>
      <c r="I40" s="71">
        <v>65776</v>
      </c>
    </row>
    <row r="41" spans="1:13" s="30" customFormat="1" ht="17.25" x14ac:dyDescent="0.35">
      <c r="A41" s="116"/>
      <c r="B41" s="117"/>
      <c r="C41" s="117"/>
      <c r="D41" s="117" t="s">
        <v>36</v>
      </c>
      <c r="E41" s="117">
        <v>1</v>
      </c>
      <c r="F41" s="117">
        <v>0</v>
      </c>
      <c r="G41" s="117"/>
      <c r="H41" s="118"/>
      <c r="I41" s="71" t="s">
        <v>427</v>
      </c>
    </row>
    <row r="42" spans="1:13" s="30" customFormat="1" ht="17.25" x14ac:dyDescent="0.35">
      <c r="A42" s="116" t="s">
        <v>141</v>
      </c>
      <c r="B42" s="117" t="s">
        <v>110</v>
      </c>
      <c r="C42" s="117" t="s">
        <v>58</v>
      </c>
      <c r="D42" s="117"/>
      <c r="E42" s="117"/>
      <c r="F42" s="117"/>
      <c r="G42" s="117" t="s">
        <v>44</v>
      </c>
      <c r="H42" s="118"/>
      <c r="I42" s="71">
        <v>65777</v>
      </c>
    </row>
    <row r="43" spans="1:13" s="30" customFormat="1" ht="17.25" x14ac:dyDescent="0.35">
      <c r="A43" s="116"/>
      <c r="B43" s="117"/>
      <c r="C43" s="117"/>
      <c r="D43" s="117" t="s">
        <v>36</v>
      </c>
      <c r="E43" s="117">
        <v>1</v>
      </c>
      <c r="F43" s="117">
        <v>0</v>
      </c>
      <c r="G43" s="117"/>
      <c r="H43" s="118"/>
      <c r="I43" s="71"/>
    </row>
    <row r="44" spans="1:13" s="30" customFormat="1" ht="27.75" x14ac:dyDescent="0.35">
      <c r="A44" s="116" t="s">
        <v>428</v>
      </c>
      <c r="B44" s="117" t="s">
        <v>429</v>
      </c>
      <c r="C44" s="117" t="s">
        <v>58</v>
      </c>
      <c r="D44" s="117"/>
      <c r="E44" s="117"/>
      <c r="F44" s="117"/>
      <c r="G44" s="117" t="s">
        <v>44</v>
      </c>
      <c r="H44" s="118"/>
      <c r="I44" s="71">
        <v>67219</v>
      </c>
    </row>
    <row r="45" spans="1:13" s="30" customFormat="1" ht="34.5" x14ac:dyDescent="0.35">
      <c r="A45" s="116"/>
      <c r="B45" s="117"/>
      <c r="C45" s="117"/>
      <c r="D45" s="117" t="s">
        <v>36</v>
      </c>
      <c r="E45" s="117">
        <v>1</v>
      </c>
      <c r="F45" s="117">
        <v>1</v>
      </c>
      <c r="G45" s="117"/>
      <c r="H45" s="118"/>
      <c r="I45" s="71" t="s">
        <v>431</v>
      </c>
    </row>
    <row r="46" spans="1:13" s="30" customFormat="1" ht="27.75" x14ac:dyDescent="0.35">
      <c r="A46" s="116" t="s">
        <v>433</v>
      </c>
      <c r="B46" s="117" t="s">
        <v>430</v>
      </c>
      <c r="C46" s="117" t="s">
        <v>58</v>
      </c>
      <c r="D46" s="117"/>
      <c r="E46" s="117"/>
      <c r="F46" s="117"/>
      <c r="G46" s="117" t="s">
        <v>44</v>
      </c>
      <c r="H46" s="118"/>
      <c r="I46" s="71">
        <v>67220</v>
      </c>
    </row>
    <row r="47" spans="1:13" s="30" customFormat="1" ht="17.25" x14ac:dyDescent="0.35">
      <c r="A47" s="116"/>
      <c r="B47" s="117"/>
      <c r="C47" s="117"/>
      <c r="D47" s="117" t="s">
        <v>36</v>
      </c>
      <c r="E47" s="117">
        <v>2</v>
      </c>
      <c r="F47" s="117">
        <v>2000</v>
      </c>
      <c r="G47" s="117"/>
      <c r="H47" s="118"/>
      <c r="I47" s="71" t="s">
        <v>432</v>
      </c>
    </row>
    <row r="48" spans="1:13" s="30" customFormat="1" ht="17.25" x14ac:dyDescent="0.35">
      <c r="A48" s="116" t="s">
        <v>459</v>
      </c>
      <c r="B48" s="117" t="s">
        <v>460</v>
      </c>
      <c r="C48" s="117" t="s">
        <v>58</v>
      </c>
      <c r="D48" s="117"/>
      <c r="E48" s="117"/>
      <c r="F48" s="117"/>
      <c r="G48" s="117" t="s">
        <v>44</v>
      </c>
      <c r="H48" s="118"/>
      <c r="I48" s="71"/>
    </row>
    <row r="49" spans="1:9" s="30" customFormat="1" ht="17.25" x14ac:dyDescent="0.35">
      <c r="A49" s="116"/>
      <c r="B49" s="117"/>
      <c r="C49" s="117"/>
      <c r="D49" s="117" t="s">
        <v>36</v>
      </c>
      <c r="E49" s="117">
        <v>1</v>
      </c>
      <c r="F49" s="117">
        <v>1</v>
      </c>
      <c r="G49" s="117"/>
      <c r="H49" s="118"/>
      <c r="I49" s="71"/>
    </row>
    <row r="50" spans="1:9" s="30" customFormat="1" ht="17.25" x14ac:dyDescent="0.35">
      <c r="A50" s="116" t="s">
        <v>459</v>
      </c>
      <c r="B50" s="117" t="s">
        <v>461</v>
      </c>
      <c r="C50" s="117" t="s">
        <v>58</v>
      </c>
      <c r="D50" s="117"/>
      <c r="E50" s="117"/>
      <c r="F50" s="117"/>
      <c r="G50" s="117" t="s">
        <v>44</v>
      </c>
      <c r="H50" s="118"/>
      <c r="I50" s="71"/>
    </row>
    <row r="51" spans="1:9" s="30" customFormat="1" ht="17.25" x14ac:dyDescent="0.35">
      <c r="A51" s="116"/>
      <c r="B51" s="117"/>
      <c r="C51" s="117"/>
      <c r="D51" s="117" t="s">
        <v>36</v>
      </c>
      <c r="E51" s="117">
        <v>4</v>
      </c>
      <c r="F51" s="117">
        <v>2000</v>
      </c>
      <c r="G51" s="117"/>
      <c r="H51" s="118"/>
      <c r="I51" s="71"/>
    </row>
    <row r="52" spans="1:9" s="30" customFormat="1" ht="17.25" x14ac:dyDescent="0.35">
      <c r="A52" s="116" t="s">
        <v>161</v>
      </c>
      <c r="B52" s="117" t="s">
        <v>162</v>
      </c>
      <c r="C52" s="117" t="s">
        <v>58</v>
      </c>
      <c r="D52" s="117"/>
      <c r="E52" s="117"/>
      <c r="F52" s="117"/>
      <c r="G52" s="117" t="s">
        <v>44</v>
      </c>
      <c r="H52" s="118"/>
      <c r="I52" s="71">
        <v>66472</v>
      </c>
    </row>
    <row r="53" spans="1:9" s="30" customFormat="1" ht="17.25" x14ac:dyDescent="0.35">
      <c r="A53" s="116"/>
      <c r="B53" s="117"/>
      <c r="C53" s="117"/>
      <c r="D53" s="117" t="s">
        <v>36</v>
      </c>
      <c r="E53" s="117">
        <v>1</v>
      </c>
      <c r="F53" s="117">
        <v>1</v>
      </c>
      <c r="G53" s="117"/>
      <c r="H53" s="118"/>
      <c r="I53" s="71"/>
    </row>
    <row r="54" spans="1:9" s="30" customFormat="1" ht="17.25" x14ac:dyDescent="0.35">
      <c r="A54" s="116" t="s">
        <v>163</v>
      </c>
      <c r="B54" s="117" t="s">
        <v>164</v>
      </c>
      <c r="C54" s="117" t="s">
        <v>58</v>
      </c>
      <c r="D54" s="117"/>
      <c r="E54" s="117"/>
      <c r="F54" s="117"/>
      <c r="G54" s="117" t="s">
        <v>44</v>
      </c>
      <c r="H54" s="118"/>
      <c r="I54" s="71">
        <v>66473</v>
      </c>
    </row>
    <row r="55" spans="1:9" s="30" customFormat="1" ht="17.25" x14ac:dyDescent="0.35">
      <c r="A55" s="116"/>
      <c r="B55" s="117"/>
      <c r="C55" s="117"/>
      <c r="D55" s="117" t="s">
        <v>36</v>
      </c>
      <c r="E55" s="117">
        <v>1</v>
      </c>
      <c r="F55" s="117">
        <v>1</v>
      </c>
      <c r="G55" s="117"/>
      <c r="H55" s="118"/>
      <c r="I55" s="71"/>
    </row>
    <row r="56" spans="1:9" s="30" customFormat="1" ht="17.25" x14ac:dyDescent="0.35">
      <c r="A56" s="116" t="s">
        <v>165</v>
      </c>
      <c r="B56" s="117" t="s">
        <v>166</v>
      </c>
      <c r="C56" s="117" t="s">
        <v>58</v>
      </c>
      <c r="D56" s="117"/>
      <c r="E56" s="117"/>
      <c r="F56" s="117"/>
      <c r="G56" s="117" t="s">
        <v>44</v>
      </c>
      <c r="H56" s="118"/>
      <c r="I56" s="71">
        <v>66048</v>
      </c>
    </row>
    <row r="57" spans="1:9" s="30" customFormat="1" ht="17.25" x14ac:dyDescent="0.35">
      <c r="A57" s="116"/>
      <c r="B57" s="117"/>
      <c r="C57" s="117"/>
      <c r="D57" s="117" t="s">
        <v>36</v>
      </c>
      <c r="E57" s="117">
        <v>1</v>
      </c>
      <c r="F57" s="117">
        <v>3</v>
      </c>
      <c r="G57" s="117"/>
      <c r="H57" s="118"/>
      <c r="I57" s="71"/>
    </row>
    <row r="58" spans="1:9" s="30" customFormat="1" ht="17.25" x14ac:dyDescent="0.35">
      <c r="A58" s="116" t="s">
        <v>343</v>
      </c>
      <c r="B58" s="117" t="s">
        <v>321</v>
      </c>
      <c r="C58" s="117" t="s">
        <v>58</v>
      </c>
      <c r="D58" s="117"/>
      <c r="E58" s="117"/>
      <c r="F58" s="117"/>
      <c r="G58" s="117" t="s">
        <v>44</v>
      </c>
      <c r="H58" s="118"/>
      <c r="I58" s="71">
        <v>70239</v>
      </c>
    </row>
    <row r="59" spans="1:9" s="30" customFormat="1" ht="17.25" x14ac:dyDescent="0.35">
      <c r="A59" s="116"/>
      <c r="B59" s="117"/>
      <c r="C59" s="117"/>
      <c r="D59" s="117" t="s">
        <v>36</v>
      </c>
      <c r="E59" s="117">
        <v>1</v>
      </c>
      <c r="F59" s="117">
        <v>3</v>
      </c>
      <c r="G59" s="117"/>
      <c r="H59" s="118"/>
      <c r="I59" s="71"/>
    </row>
    <row r="60" spans="1:9" s="30" customFormat="1" ht="17.25" x14ac:dyDescent="0.35">
      <c r="A60" s="116" t="s">
        <v>355</v>
      </c>
      <c r="B60" s="117" t="s">
        <v>356</v>
      </c>
      <c r="C60" s="117" t="s">
        <v>58</v>
      </c>
      <c r="D60" s="117"/>
      <c r="E60" s="117"/>
      <c r="F60" s="117"/>
      <c r="G60" s="117" t="s">
        <v>44</v>
      </c>
      <c r="H60" s="118"/>
      <c r="I60" s="71">
        <v>70315</v>
      </c>
    </row>
    <row r="61" spans="1:9" s="30" customFormat="1" ht="17.25" x14ac:dyDescent="0.35">
      <c r="A61" s="116"/>
      <c r="B61" s="117"/>
      <c r="C61" s="117"/>
      <c r="D61" s="117" t="s">
        <v>36</v>
      </c>
      <c r="E61" s="117">
        <v>1</v>
      </c>
      <c r="F61" s="117">
        <v>2</v>
      </c>
      <c r="G61" s="117"/>
      <c r="H61" s="118"/>
      <c r="I61" s="71"/>
    </row>
    <row r="62" spans="1:9" s="30" customFormat="1" ht="17.25" x14ac:dyDescent="0.35">
      <c r="A62" s="116" t="s">
        <v>366</v>
      </c>
      <c r="B62" s="117" t="s">
        <v>365</v>
      </c>
      <c r="C62" s="117" t="s">
        <v>58</v>
      </c>
      <c r="D62" s="117"/>
      <c r="E62" s="117"/>
      <c r="F62" s="117"/>
      <c r="G62" s="117" t="s">
        <v>44</v>
      </c>
      <c r="H62" s="118"/>
      <c r="I62" s="71">
        <v>71554</v>
      </c>
    </row>
    <row r="63" spans="1:9" s="30" customFormat="1" ht="17.25" x14ac:dyDescent="0.35">
      <c r="A63" s="116"/>
      <c r="B63" s="117"/>
      <c r="C63" s="117"/>
      <c r="D63" s="117" t="s">
        <v>36</v>
      </c>
      <c r="E63" s="117">
        <v>1</v>
      </c>
      <c r="F63" s="117">
        <v>1</v>
      </c>
      <c r="G63" s="117"/>
      <c r="H63" s="118"/>
      <c r="I63" s="71" t="s">
        <v>211</v>
      </c>
    </row>
    <row r="64" spans="1:9" s="30" customFormat="1" ht="17.25" x14ac:dyDescent="0.35">
      <c r="A64" s="116"/>
      <c r="B64" s="117"/>
      <c r="C64" s="117"/>
      <c r="D64" s="117" t="s">
        <v>36</v>
      </c>
      <c r="E64" s="117">
        <v>4</v>
      </c>
      <c r="F64" s="117">
        <v>5000</v>
      </c>
      <c r="G64" s="117"/>
      <c r="H64" s="118"/>
      <c r="I64" s="71" t="s">
        <v>364</v>
      </c>
    </row>
    <row r="65" spans="1:9" s="30" customFormat="1" ht="17.25" x14ac:dyDescent="0.35">
      <c r="A65" s="116"/>
      <c r="B65" s="117"/>
      <c r="C65" s="117"/>
      <c r="D65" s="117" t="s">
        <v>36</v>
      </c>
      <c r="E65" s="117">
        <v>1</v>
      </c>
      <c r="F65" s="117">
        <v>1</v>
      </c>
      <c r="G65" s="117"/>
      <c r="H65" s="118"/>
      <c r="I65" s="71" t="s">
        <v>367</v>
      </c>
    </row>
    <row r="66" spans="1:9" s="30" customFormat="1" ht="17.25" x14ac:dyDescent="0.35">
      <c r="A66" s="116"/>
      <c r="B66" s="117"/>
      <c r="C66" s="117"/>
      <c r="D66" s="117" t="s">
        <v>36</v>
      </c>
      <c r="E66" s="117">
        <v>2</v>
      </c>
      <c r="F66" s="117"/>
      <c r="G66" s="117"/>
      <c r="H66" s="118"/>
      <c r="I66" s="71" t="s">
        <v>222</v>
      </c>
    </row>
    <row r="67" spans="1:9" s="30" customFormat="1" ht="17.25" x14ac:dyDescent="0.35">
      <c r="A67" s="116" t="s">
        <v>368</v>
      </c>
      <c r="B67" s="117" t="s">
        <v>369</v>
      </c>
      <c r="C67" s="117" t="s">
        <v>58</v>
      </c>
      <c r="D67" s="117"/>
      <c r="E67" s="117"/>
      <c r="F67" s="117"/>
      <c r="G67" s="117" t="s">
        <v>44</v>
      </c>
      <c r="H67" s="118"/>
      <c r="I67" s="71">
        <v>73545</v>
      </c>
    </row>
    <row r="68" spans="1:9" s="30" customFormat="1" ht="17.25" x14ac:dyDescent="0.35">
      <c r="A68" s="116"/>
      <c r="B68" s="117"/>
      <c r="C68" s="117"/>
      <c r="D68" s="117" t="s">
        <v>36</v>
      </c>
      <c r="E68" s="117">
        <v>1</v>
      </c>
      <c r="F68" s="117">
        <v>0</v>
      </c>
      <c r="G68" s="117"/>
      <c r="H68" s="118"/>
      <c r="I68" s="71" t="s">
        <v>370</v>
      </c>
    </row>
    <row r="69" spans="1:9" s="30" customFormat="1" ht="34.5" x14ac:dyDescent="0.35">
      <c r="A69" s="116"/>
      <c r="B69" s="117"/>
      <c r="C69" s="117"/>
      <c r="D69" s="117" t="s">
        <v>36</v>
      </c>
      <c r="E69" s="117">
        <v>1</v>
      </c>
      <c r="F69" s="117">
        <v>1</v>
      </c>
      <c r="G69" s="117"/>
      <c r="H69" s="118"/>
      <c r="I69" s="71" t="s">
        <v>371</v>
      </c>
    </row>
    <row r="70" spans="1:9" s="30" customFormat="1" ht="17.25" x14ac:dyDescent="0.35">
      <c r="A70" s="116"/>
      <c r="B70" s="117"/>
      <c r="C70" s="117"/>
      <c r="D70" s="117" t="s">
        <v>36</v>
      </c>
      <c r="E70" s="117">
        <v>1</v>
      </c>
      <c r="F70" s="117">
        <v>1</v>
      </c>
      <c r="G70" s="117"/>
      <c r="H70" s="118"/>
      <c r="I70" s="71" t="s">
        <v>372</v>
      </c>
    </row>
    <row r="71" spans="1:9" s="30" customFormat="1" ht="17.25" x14ac:dyDescent="0.35">
      <c r="A71" s="116"/>
      <c r="B71" s="117"/>
      <c r="C71" s="117"/>
      <c r="D71" s="117" t="s">
        <v>36</v>
      </c>
      <c r="E71" s="117">
        <v>1</v>
      </c>
      <c r="F71" s="117">
        <v>5</v>
      </c>
      <c r="G71" s="117"/>
      <c r="H71" s="118"/>
      <c r="I71" s="71" t="s">
        <v>373</v>
      </c>
    </row>
    <row r="72" spans="1:9" s="30" customFormat="1" ht="17.25" x14ac:dyDescent="0.35">
      <c r="A72" s="116"/>
      <c r="B72" s="117"/>
      <c r="C72" s="117"/>
      <c r="D72" s="117" t="s">
        <v>36</v>
      </c>
      <c r="E72" s="117">
        <v>1</v>
      </c>
      <c r="F72" s="117">
        <v>0</v>
      </c>
      <c r="G72" s="117"/>
      <c r="H72" s="118"/>
      <c r="I72" s="71" t="s">
        <v>374</v>
      </c>
    </row>
    <row r="73" spans="1:9" s="30" customFormat="1" ht="17.25" x14ac:dyDescent="0.35">
      <c r="A73" s="116"/>
      <c r="B73" s="117"/>
      <c r="C73" s="117"/>
      <c r="D73" s="117" t="s">
        <v>36</v>
      </c>
      <c r="E73" s="117">
        <v>1</v>
      </c>
      <c r="F73" s="117">
        <v>0</v>
      </c>
      <c r="G73" s="117"/>
      <c r="H73" s="118"/>
      <c r="I73" s="71" t="s">
        <v>375</v>
      </c>
    </row>
    <row r="74" spans="1:9" s="30" customFormat="1" ht="17.25" x14ac:dyDescent="0.35">
      <c r="A74" s="116"/>
      <c r="B74" s="117"/>
      <c r="C74" s="117"/>
      <c r="D74" s="117" t="s">
        <v>36</v>
      </c>
      <c r="E74" s="117">
        <v>1</v>
      </c>
      <c r="F74" s="117">
        <v>0</v>
      </c>
      <c r="G74" s="117"/>
      <c r="H74" s="118"/>
      <c r="I74" s="71" t="s">
        <v>376</v>
      </c>
    </row>
    <row r="75" spans="1:9" s="30" customFormat="1" ht="17.25" x14ac:dyDescent="0.35">
      <c r="A75" s="116"/>
      <c r="B75" s="117"/>
      <c r="C75" s="117"/>
      <c r="D75" s="117" t="s">
        <v>36</v>
      </c>
      <c r="E75" s="117">
        <v>1</v>
      </c>
      <c r="F75" s="117">
        <v>0</v>
      </c>
      <c r="G75" s="117"/>
      <c r="H75" s="118"/>
      <c r="I75" s="71" t="s">
        <v>377</v>
      </c>
    </row>
    <row r="76" spans="1:9" s="30" customFormat="1" ht="17.25" x14ac:dyDescent="0.35">
      <c r="A76" s="116"/>
      <c r="B76" s="117"/>
      <c r="C76" s="117"/>
      <c r="D76" s="117" t="s">
        <v>36</v>
      </c>
      <c r="E76" s="117">
        <v>1</v>
      </c>
      <c r="F76" s="117">
        <v>0</v>
      </c>
      <c r="G76" s="117"/>
      <c r="H76" s="118"/>
      <c r="I76" s="71" t="s">
        <v>378</v>
      </c>
    </row>
    <row r="77" spans="1:9" s="30" customFormat="1" ht="17.25" x14ac:dyDescent="0.35">
      <c r="A77" s="116"/>
      <c r="B77" s="117"/>
      <c r="C77" s="117"/>
      <c r="D77" s="117" t="s">
        <v>36</v>
      </c>
      <c r="E77" s="117">
        <v>1</v>
      </c>
      <c r="F77" s="117">
        <v>0</v>
      </c>
      <c r="G77" s="117"/>
      <c r="H77" s="118"/>
      <c r="I77" s="71" t="s">
        <v>379</v>
      </c>
    </row>
    <row r="78" spans="1:9" s="30" customFormat="1" ht="17.25" x14ac:dyDescent="0.35">
      <c r="A78" s="116"/>
      <c r="B78" s="117"/>
      <c r="C78" s="117"/>
      <c r="D78" s="117" t="s">
        <v>36</v>
      </c>
      <c r="E78" s="117">
        <v>1</v>
      </c>
      <c r="F78" s="117">
        <v>0</v>
      </c>
      <c r="G78" s="117"/>
      <c r="H78" s="118"/>
      <c r="I78" s="71" t="s">
        <v>380</v>
      </c>
    </row>
    <row r="79" spans="1:9" s="30" customFormat="1" ht="17.25" x14ac:dyDescent="0.35">
      <c r="A79" s="116" t="s">
        <v>451</v>
      </c>
      <c r="B79" s="117" t="s">
        <v>452</v>
      </c>
      <c r="C79" s="117" t="s">
        <v>58</v>
      </c>
      <c r="D79" s="117"/>
      <c r="E79" s="117"/>
      <c r="F79" s="117"/>
      <c r="G79" s="117" t="s">
        <v>44</v>
      </c>
      <c r="H79" s="118"/>
      <c r="I79" s="71">
        <v>73544</v>
      </c>
    </row>
    <row r="80" spans="1:9" s="30" customFormat="1" ht="17.25" x14ac:dyDescent="0.35">
      <c r="A80" s="116"/>
      <c r="B80" s="117"/>
      <c r="C80" s="117"/>
      <c r="D80" s="117" t="s">
        <v>36</v>
      </c>
      <c r="E80" s="117">
        <v>1</v>
      </c>
      <c r="F80" s="117" t="s">
        <v>6</v>
      </c>
      <c r="G80" s="117"/>
      <c r="H80" s="118"/>
      <c r="I80" s="71" t="s">
        <v>451</v>
      </c>
    </row>
    <row r="81" spans="1:9" s="30" customFormat="1" ht="17.25" x14ac:dyDescent="0.35">
      <c r="A81" s="116" t="s">
        <v>543</v>
      </c>
      <c r="B81" s="117" t="s">
        <v>544</v>
      </c>
      <c r="C81" s="117" t="s">
        <v>58</v>
      </c>
      <c r="D81" s="117"/>
      <c r="E81" s="117"/>
      <c r="F81" s="117"/>
      <c r="G81" s="117" t="s">
        <v>44</v>
      </c>
      <c r="H81" s="118"/>
      <c r="I81" s="71">
        <v>73538</v>
      </c>
    </row>
    <row r="82" spans="1:9" s="30" customFormat="1" ht="17.25" x14ac:dyDescent="0.35">
      <c r="A82" s="116"/>
      <c r="B82" s="117"/>
      <c r="C82" s="117"/>
      <c r="D82" s="117" t="s">
        <v>36</v>
      </c>
      <c r="E82" s="117">
        <v>1</v>
      </c>
      <c r="F82" s="117">
        <v>1</v>
      </c>
      <c r="G82" s="117"/>
      <c r="H82" s="118"/>
      <c r="I82" s="71" t="s">
        <v>545</v>
      </c>
    </row>
    <row r="83" spans="1:9" s="30" customFormat="1" ht="17.25" x14ac:dyDescent="0.35">
      <c r="A83" s="116"/>
      <c r="B83" s="117"/>
      <c r="C83" s="117"/>
      <c r="D83" s="117" t="s">
        <v>36</v>
      </c>
      <c r="E83" s="117">
        <v>1</v>
      </c>
      <c r="F83" s="117">
        <v>1</v>
      </c>
      <c r="G83" s="117"/>
      <c r="H83" s="118"/>
      <c r="I83" s="71" t="s">
        <v>546</v>
      </c>
    </row>
    <row r="84" spans="1:9" s="30" customFormat="1" ht="17.25" x14ac:dyDescent="0.35">
      <c r="A84" s="116" t="s">
        <v>548</v>
      </c>
      <c r="B84" s="117" t="s">
        <v>549</v>
      </c>
      <c r="C84" s="117" t="s">
        <v>488</v>
      </c>
      <c r="D84" s="117"/>
      <c r="E84" s="117"/>
      <c r="F84" s="117"/>
      <c r="G84" s="117" t="s">
        <v>44</v>
      </c>
      <c r="H84" s="118" t="s">
        <v>550</v>
      </c>
      <c r="I84" s="71" t="s">
        <v>6</v>
      </c>
    </row>
    <row r="85" spans="1:9" s="30" customFormat="1" ht="17.25" x14ac:dyDescent="0.35">
      <c r="A85" s="116" t="s">
        <v>611</v>
      </c>
      <c r="B85" s="117" t="s">
        <v>612</v>
      </c>
      <c r="C85" s="117" t="s">
        <v>488</v>
      </c>
      <c r="D85" s="117"/>
      <c r="E85" s="117"/>
      <c r="F85" s="117"/>
      <c r="G85" s="117" t="s">
        <v>591</v>
      </c>
      <c r="H85" s="118" t="s">
        <v>613</v>
      </c>
      <c r="I85" s="71" t="s">
        <v>6</v>
      </c>
    </row>
    <row r="86" spans="1:9" s="30" customFormat="1" ht="17.25" x14ac:dyDescent="0.35">
      <c r="A86" s="116" t="s">
        <v>614</v>
      </c>
      <c r="B86" s="117" t="s">
        <v>615</v>
      </c>
      <c r="C86" s="117" t="s">
        <v>488</v>
      </c>
      <c r="D86" s="117"/>
      <c r="E86" s="117"/>
      <c r="F86" s="117"/>
      <c r="G86" s="117" t="s">
        <v>591</v>
      </c>
      <c r="H86" s="118" t="s">
        <v>616</v>
      </c>
      <c r="I86" s="71" t="s">
        <v>6</v>
      </c>
    </row>
    <row r="87" spans="1:9" s="30" customFormat="1" ht="17.25" x14ac:dyDescent="0.35">
      <c r="A87" s="116" t="s">
        <v>551</v>
      </c>
      <c r="B87" s="117" t="s">
        <v>590</v>
      </c>
      <c r="C87" s="117" t="s">
        <v>488</v>
      </c>
      <c r="D87" s="117"/>
      <c r="E87" s="117"/>
      <c r="F87" s="117"/>
      <c r="G87" s="117" t="s">
        <v>591</v>
      </c>
      <c r="H87" s="118" t="s">
        <v>553</v>
      </c>
      <c r="I87" s="71"/>
    </row>
    <row r="88" spans="1:9" s="30" customFormat="1" ht="17.25" x14ac:dyDescent="0.35">
      <c r="A88" s="116" t="s">
        <v>552</v>
      </c>
      <c r="B88" s="117" t="s">
        <v>592</v>
      </c>
      <c r="C88" s="117" t="s">
        <v>488</v>
      </c>
      <c r="D88" s="117"/>
      <c r="E88" s="117"/>
      <c r="F88" s="117"/>
      <c r="G88" s="117" t="s">
        <v>591</v>
      </c>
      <c r="H88" s="118" t="s">
        <v>554</v>
      </c>
      <c r="I88" s="71"/>
    </row>
    <row r="89" spans="1:9" s="30" customFormat="1" ht="17.25" x14ac:dyDescent="0.35">
      <c r="A89" s="116" t="s">
        <v>493</v>
      </c>
      <c r="B89" s="117" t="s">
        <v>593</v>
      </c>
      <c r="C89" s="117" t="s">
        <v>488</v>
      </c>
      <c r="D89" s="117"/>
      <c r="E89" s="117"/>
      <c r="F89" s="117"/>
      <c r="G89" s="117" t="s">
        <v>591</v>
      </c>
      <c r="H89" s="118" t="s">
        <v>494</v>
      </c>
      <c r="I89" s="71"/>
    </row>
    <row r="90" spans="1:9" s="30" customFormat="1" ht="17.25" x14ac:dyDescent="0.35">
      <c r="A90" s="116" t="s">
        <v>862</v>
      </c>
      <c r="B90" s="117" t="s">
        <v>863</v>
      </c>
      <c r="C90" s="117" t="s">
        <v>488</v>
      </c>
      <c r="D90" s="117"/>
      <c r="E90" s="117"/>
      <c r="F90" s="117"/>
      <c r="G90" s="117" t="s">
        <v>591</v>
      </c>
      <c r="H90" s="118" t="s">
        <v>909</v>
      </c>
      <c r="I90" s="71"/>
    </row>
    <row r="91" spans="1:9" s="30" customFormat="1" ht="17.25" x14ac:dyDescent="0.35">
      <c r="A91" s="116" t="s">
        <v>569</v>
      </c>
      <c r="B91" s="117" t="s">
        <v>570</v>
      </c>
      <c r="C91" s="117" t="s">
        <v>488</v>
      </c>
      <c r="D91" s="117"/>
      <c r="E91" s="117"/>
      <c r="F91" s="117"/>
      <c r="G91" s="117" t="s">
        <v>44</v>
      </c>
      <c r="H91" s="118" t="s">
        <v>571</v>
      </c>
      <c r="I91" s="71"/>
    </row>
    <row r="92" spans="1:9" s="30" customFormat="1" ht="17.25" x14ac:dyDescent="0.35">
      <c r="A92" s="116" t="s">
        <v>861</v>
      </c>
      <c r="B92" s="117" t="s">
        <v>859</v>
      </c>
      <c r="C92" s="117" t="s">
        <v>488</v>
      </c>
      <c r="D92" s="117"/>
      <c r="E92" s="117"/>
      <c r="F92" s="117"/>
      <c r="G92" s="117" t="s">
        <v>44</v>
      </c>
      <c r="H92" s="118" t="s">
        <v>912</v>
      </c>
      <c r="I92" s="71" t="s">
        <v>6</v>
      </c>
    </row>
    <row r="93" spans="1:9" s="30" customFormat="1" ht="17.25" x14ac:dyDescent="0.35">
      <c r="A93" s="116" t="s">
        <v>597</v>
      </c>
      <c r="B93" s="117" t="s">
        <v>598</v>
      </c>
      <c r="C93" s="117" t="s">
        <v>488</v>
      </c>
      <c r="D93" s="117"/>
      <c r="E93" s="117"/>
      <c r="F93" s="117"/>
      <c r="G93" s="117" t="s">
        <v>591</v>
      </c>
      <c r="H93" s="118" t="s">
        <v>599</v>
      </c>
      <c r="I93" s="71" t="s">
        <v>600</v>
      </c>
    </row>
    <row r="94" spans="1:9" s="30" customFormat="1" ht="17.25" x14ac:dyDescent="0.35">
      <c r="A94" s="116" t="s">
        <v>601</v>
      </c>
      <c r="B94" s="117" t="s">
        <v>602</v>
      </c>
      <c r="C94" s="117" t="s">
        <v>488</v>
      </c>
      <c r="D94" s="117"/>
      <c r="E94" s="117"/>
      <c r="F94" s="117"/>
      <c r="G94" s="117" t="s">
        <v>591</v>
      </c>
      <c r="H94" s="118" t="s">
        <v>603</v>
      </c>
      <c r="I94" s="71" t="s">
        <v>600</v>
      </c>
    </row>
    <row r="95" spans="1:9" s="30" customFormat="1" ht="17.25" x14ac:dyDescent="0.35">
      <c r="A95" s="116" t="s">
        <v>604</v>
      </c>
      <c r="B95" s="117" t="s">
        <v>605</v>
      </c>
      <c r="C95" s="117" t="s">
        <v>488</v>
      </c>
      <c r="D95" s="117"/>
      <c r="E95" s="117"/>
      <c r="F95" s="117"/>
      <c r="G95" s="117" t="s">
        <v>591</v>
      </c>
      <c r="H95" s="118" t="s">
        <v>606</v>
      </c>
      <c r="I95" s="71" t="s">
        <v>600</v>
      </c>
    </row>
    <row r="96" spans="1:9" s="30" customFormat="1" ht="17.25" x14ac:dyDescent="0.35">
      <c r="A96" s="116"/>
      <c r="B96" s="117"/>
      <c r="C96" s="117"/>
      <c r="D96" s="117"/>
      <c r="E96" s="117"/>
      <c r="F96" s="117"/>
      <c r="G96" s="117"/>
      <c r="H96" s="118"/>
      <c r="I96" s="71"/>
    </row>
    <row r="97" spans="1:13" s="30" customFormat="1" ht="17.25" x14ac:dyDescent="0.35">
      <c r="A97" s="116" t="s">
        <v>564</v>
      </c>
      <c r="B97" s="117"/>
      <c r="C97" s="117"/>
      <c r="D97" s="117"/>
      <c r="E97" s="117"/>
      <c r="F97" s="117"/>
      <c r="G97" s="117"/>
      <c r="H97" s="118"/>
      <c r="I97" s="71"/>
    </row>
    <row r="98" spans="1:13" s="68" customFormat="1" ht="17.25" customHeight="1" x14ac:dyDescent="0.35">
      <c r="A98" s="116" t="s">
        <v>170</v>
      </c>
      <c r="B98" s="117" t="s">
        <v>53</v>
      </c>
      <c r="C98" s="117" t="s">
        <v>58</v>
      </c>
      <c r="D98" s="117"/>
      <c r="E98" s="117"/>
      <c r="F98" s="117"/>
      <c r="G98" s="117" t="s">
        <v>591</v>
      </c>
      <c r="H98" s="118"/>
      <c r="I98" s="65">
        <v>65956</v>
      </c>
      <c r="J98" s="30"/>
      <c r="K98" s="30"/>
      <c r="L98" s="30"/>
      <c r="M98" s="30"/>
    </row>
    <row r="99" spans="1:13" s="68" customFormat="1" ht="17.25" customHeight="1" x14ac:dyDescent="0.35">
      <c r="A99" s="116"/>
      <c r="B99" s="117"/>
      <c r="C99" s="117"/>
      <c r="D99" s="117" t="s">
        <v>36</v>
      </c>
      <c r="E99" s="117">
        <v>2</v>
      </c>
      <c r="F99" s="117">
        <v>0</v>
      </c>
      <c r="G99" s="117"/>
      <c r="H99" s="118"/>
      <c r="I99" s="65" t="s">
        <v>617</v>
      </c>
      <c r="J99" s="30"/>
      <c r="K99" s="30"/>
      <c r="L99" s="30"/>
      <c r="M99" s="30"/>
    </row>
    <row r="100" spans="1:13" s="68" customFormat="1" ht="17.25" customHeight="1" x14ac:dyDescent="0.35">
      <c r="A100" s="116" t="s">
        <v>169</v>
      </c>
      <c r="B100" s="117" t="s">
        <v>167</v>
      </c>
      <c r="C100" s="117" t="s">
        <v>58</v>
      </c>
      <c r="D100" s="117"/>
      <c r="E100" s="117"/>
      <c r="F100" s="117"/>
      <c r="G100" s="117" t="s">
        <v>591</v>
      </c>
      <c r="H100" s="118"/>
      <c r="I100" s="65">
        <v>65961</v>
      </c>
      <c r="J100" s="30"/>
      <c r="K100" s="30"/>
      <c r="L100" s="30"/>
      <c r="M100" s="30"/>
    </row>
    <row r="101" spans="1:13" s="68" customFormat="1" ht="17.25" customHeight="1" x14ac:dyDescent="0.35">
      <c r="A101" s="116"/>
      <c r="B101" s="117"/>
      <c r="C101" s="117"/>
      <c r="D101" s="117" t="s">
        <v>36</v>
      </c>
      <c r="E101" s="117">
        <v>1</v>
      </c>
      <c r="F101" s="117">
        <v>0</v>
      </c>
      <c r="G101" s="117"/>
      <c r="H101" s="118"/>
      <c r="I101" s="65" t="s">
        <v>618</v>
      </c>
      <c r="J101" s="30"/>
      <c r="K101" s="30"/>
      <c r="L101" s="30"/>
      <c r="M101" s="30"/>
    </row>
    <row r="102" spans="1:13" s="68" customFormat="1" ht="17.25" customHeight="1" x14ac:dyDescent="0.35">
      <c r="A102" s="116" t="s">
        <v>54</v>
      </c>
      <c r="B102" s="117" t="s">
        <v>55</v>
      </c>
      <c r="C102" s="117" t="s">
        <v>58</v>
      </c>
      <c r="D102" s="117"/>
      <c r="E102" s="117"/>
      <c r="F102" s="117"/>
      <c r="G102" s="117" t="s">
        <v>591</v>
      </c>
      <c r="H102" s="118"/>
      <c r="I102" s="65">
        <v>67218</v>
      </c>
      <c r="J102" s="30"/>
      <c r="K102" s="30"/>
      <c r="L102" s="30"/>
      <c r="M102" s="30"/>
    </row>
    <row r="103" spans="1:13" s="68" customFormat="1" ht="17.25" customHeight="1" x14ac:dyDescent="0.35">
      <c r="A103" s="116"/>
      <c r="B103" s="117"/>
      <c r="C103" s="117"/>
      <c r="D103" s="117" t="s">
        <v>36</v>
      </c>
      <c r="E103" s="117">
        <v>1</v>
      </c>
      <c r="F103" s="117">
        <v>1</v>
      </c>
      <c r="G103" s="117"/>
      <c r="H103" s="118"/>
      <c r="I103" s="65" t="s">
        <v>619</v>
      </c>
      <c r="J103" s="30"/>
      <c r="K103" s="30"/>
      <c r="L103" s="30"/>
      <c r="M103" s="30"/>
    </row>
    <row r="104" spans="1:13" s="68" customFormat="1" ht="17.25" customHeight="1" x14ac:dyDescent="0.35">
      <c r="A104" s="116" t="s">
        <v>56</v>
      </c>
      <c r="B104" s="117" t="s">
        <v>57</v>
      </c>
      <c r="C104" s="117" t="s">
        <v>58</v>
      </c>
      <c r="D104" s="117"/>
      <c r="E104" s="117"/>
      <c r="F104" s="117"/>
      <c r="G104" s="117" t="s">
        <v>591</v>
      </c>
      <c r="H104" s="118"/>
      <c r="I104" s="65">
        <v>67261</v>
      </c>
      <c r="J104" s="30"/>
      <c r="K104" s="30"/>
      <c r="L104" s="30"/>
      <c r="M104" s="30"/>
    </row>
    <row r="105" spans="1:13" s="68" customFormat="1" ht="17.25" customHeight="1" x14ac:dyDescent="0.35">
      <c r="A105" s="116"/>
      <c r="B105" s="117"/>
      <c r="C105" s="117"/>
      <c r="D105" s="117" t="s">
        <v>36</v>
      </c>
      <c r="E105" s="117">
        <v>2</v>
      </c>
      <c r="F105" s="117">
        <v>0</v>
      </c>
      <c r="G105" s="117"/>
      <c r="H105" s="118"/>
      <c r="I105" s="65" t="s">
        <v>171</v>
      </c>
      <c r="J105" s="30"/>
      <c r="K105" s="30"/>
      <c r="L105" s="30"/>
      <c r="M105" s="30"/>
    </row>
    <row r="106" spans="1:13" s="68" customFormat="1" ht="17.25" customHeight="1" x14ac:dyDescent="0.35">
      <c r="A106" s="116"/>
      <c r="B106" s="117"/>
      <c r="C106" s="117"/>
      <c r="D106" s="117" t="s">
        <v>36</v>
      </c>
      <c r="E106" s="117">
        <v>2</v>
      </c>
      <c r="F106" s="117">
        <v>0</v>
      </c>
      <c r="G106" s="117"/>
      <c r="H106" s="118"/>
      <c r="I106" s="65" t="s">
        <v>620</v>
      </c>
      <c r="J106" s="30"/>
      <c r="K106" s="30"/>
      <c r="L106" s="30"/>
      <c r="M106" s="30"/>
    </row>
    <row r="107" spans="1:13" s="68" customFormat="1" ht="17.25" customHeight="1" x14ac:dyDescent="0.35">
      <c r="A107" s="116"/>
      <c r="B107" s="117"/>
      <c r="C107" s="117"/>
      <c r="D107" s="117" t="s">
        <v>36</v>
      </c>
      <c r="E107" s="117">
        <v>1</v>
      </c>
      <c r="F107" s="117">
        <v>0</v>
      </c>
      <c r="G107" s="117"/>
      <c r="H107" s="118"/>
      <c r="I107" s="65" t="s">
        <v>621</v>
      </c>
      <c r="J107" s="30"/>
      <c r="K107" s="30"/>
      <c r="L107" s="30"/>
      <c r="M107" s="30"/>
    </row>
    <row r="108" spans="1:13" s="68" customFormat="1" ht="17.25" customHeight="1" x14ac:dyDescent="0.35">
      <c r="A108" s="116"/>
      <c r="B108" s="117"/>
      <c r="C108" s="117"/>
      <c r="D108" s="117" t="s">
        <v>36</v>
      </c>
      <c r="E108" s="117">
        <v>1</v>
      </c>
      <c r="F108" s="117">
        <v>1</v>
      </c>
      <c r="G108" s="117"/>
      <c r="H108" s="118"/>
      <c r="I108" s="65" t="s">
        <v>59</v>
      </c>
      <c r="J108" s="30"/>
      <c r="K108" s="30"/>
      <c r="L108" s="30"/>
      <c r="M108" s="30"/>
    </row>
    <row r="109" spans="1:13" s="68" customFormat="1" ht="17.25" customHeight="1" x14ac:dyDescent="0.35">
      <c r="A109" s="116"/>
      <c r="B109" s="117"/>
      <c r="C109" s="117"/>
      <c r="D109" s="117" t="s">
        <v>36</v>
      </c>
      <c r="E109" s="117">
        <v>2</v>
      </c>
      <c r="F109" s="117">
        <v>0</v>
      </c>
      <c r="G109" s="117"/>
      <c r="H109" s="118"/>
      <c r="I109" s="65" t="s">
        <v>172</v>
      </c>
      <c r="J109" s="30"/>
      <c r="K109" s="30"/>
      <c r="L109" s="30"/>
      <c r="M109" s="30"/>
    </row>
    <row r="110" spans="1:13" s="68" customFormat="1" ht="17.25" customHeight="1" x14ac:dyDescent="0.35">
      <c r="A110" s="116"/>
      <c r="B110" s="117"/>
      <c r="C110" s="117"/>
      <c r="D110" s="117" t="s">
        <v>36</v>
      </c>
      <c r="E110" s="117">
        <v>1</v>
      </c>
      <c r="F110" s="117">
        <v>0</v>
      </c>
      <c r="G110" s="117"/>
      <c r="H110" s="118"/>
      <c r="I110" s="65" t="s">
        <v>60</v>
      </c>
      <c r="J110" s="30"/>
      <c r="K110" s="30"/>
      <c r="L110" s="30"/>
      <c r="M110" s="30"/>
    </row>
    <row r="111" spans="1:13" s="68" customFormat="1" ht="17.25" customHeight="1" x14ac:dyDescent="0.35">
      <c r="A111" s="116"/>
      <c r="B111" s="117"/>
      <c r="C111" s="117"/>
      <c r="D111" s="117" t="s">
        <v>36</v>
      </c>
      <c r="E111" s="117">
        <v>4</v>
      </c>
      <c r="F111" s="117">
        <v>0</v>
      </c>
      <c r="G111" s="117"/>
      <c r="H111" s="118"/>
      <c r="I111" s="65" t="s">
        <v>61</v>
      </c>
      <c r="J111" s="30"/>
      <c r="K111" s="30"/>
      <c r="L111" s="30"/>
      <c r="M111" s="30"/>
    </row>
    <row r="112" spans="1:13" s="68" customFormat="1" ht="17.25" customHeight="1" x14ac:dyDescent="0.35">
      <c r="A112" s="116"/>
      <c r="B112" s="117"/>
      <c r="C112" s="117"/>
      <c r="D112" s="117" t="s">
        <v>36</v>
      </c>
      <c r="E112" s="117">
        <v>1</v>
      </c>
      <c r="F112" s="117">
        <v>2</v>
      </c>
      <c r="G112" s="117"/>
      <c r="H112" s="118"/>
      <c r="I112" s="65" t="s">
        <v>62</v>
      </c>
      <c r="J112" s="30"/>
      <c r="K112" s="30"/>
      <c r="L112" s="30"/>
      <c r="M112" s="30"/>
    </row>
    <row r="113" spans="1:13" s="68" customFormat="1" ht="17.25" customHeight="1" x14ac:dyDescent="0.35">
      <c r="A113" s="116" t="s">
        <v>63</v>
      </c>
      <c r="B113" s="117" t="s">
        <v>64</v>
      </c>
      <c r="C113" s="117" t="s">
        <v>58</v>
      </c>
      <c r="D113" s="117"/>
      <c r="E113" s="117"/>
      <c r="F113" s="117"/>
      <c r="G113" s="117" t="s">
        <v>591</v>
      </c>
      <c r="H113" s="118"/>
      <c r="I113" s="65">
        <v>67264</v>
      </c>
      <c r="J113" s="30"/>
      <c r="K113" s="30"/>
      <c r="L113" s="30"/>
      <c r="M113" s="30"/>
    </row>
    <row r="114" spans="1:13" s="68" customFormat="1" ht="17.25" customHeight="1" x14ac:dyDescent="0.35">
      <c r="A114" s="116"/>
      <c r="B114" s="117"/>
      <c r="C114" s="117"/>
      <c r="D114" s="117" t="s">
        <v>36</v>
      </c>
      <c r="E114" s="117">
        <v>1</v>
      </c>
      <c r="F114" s="117">
        <v>1</v>
      </c>
      <c r="G114" s="117"/>
      <c r="H114" s="118"/>
      <c r="I114" s="65" t="s">
        <v>155</v>
      </c>
      <c r="J114" s="30"/>
      <c r="K114" s="30"/>
      <c r="L114" s="30"/>
      <c r="M114" s="30"/>
    </row>
    <row r="115" spans="1:13" s="68" customFormat="1" ht="17.25" customHeight="1" x14ac:dyDescent="0.35">
      <c r="A115" s="116"/>
      <c r="B115" s="117"/>
      <c r="C115" s="117"/>
      <c r="D115" s="117" t="s">
        <v>36</v>
      </c>
      <c r="E115" s="117">
        <v>1</v>
      </c>
      <c r="F115" s="117">
        <v>2</v>
      </c>
      <c r="G115" s="117"/>
      <c r="H115" s="118"/>
      <c r="I115" s="65" t="s">
        <v>156</v>
      </c>
      <c r="J115" s="30"/>
      <c r="K115" s="30"/>
      <c r="L115" s="30"/>
      <c r="M115" s="30"/>
    </row>
    <row r="116" spans="1:13" s="68" customFormat="1" ht="17.25" customHeight="1" x14ac:dyDescent="0.35">
      <c r="A116" s="116"/>
      <c r="B116" s="117"/>
      <c r="C116" s="117"/>
      <c r="D116" s="117" t="s">
        <v>37</v>
      </c>
      <c r="E116" s="117">
        <v>32</v>
      </c>
      <c r="F116" s="117" t="s">
        <v>221</v>
      </c>
      <c r="G116" s="117"/>
      <c r="H116" s="118"/>
      <c r="I116" s="65" t="s">
        <v>157</v>
      </c>
      <c r="J116" s="30"/>
      <c r="K116" s="30"/>
      <c r="L116" s="30"/>
      <c r="M116" s="30"/>
    </row>
    <row r="117" spans="1:13" s="68" customFormat="1" ht="17.25" customHeight="1" x14ac:dyDescent="0.35">
      <c r="A117" s="116"/>
      <c r="B117" s="117"/>
      <c r="C117" s="117"/>
      <c r="D117" s="117" t="s">
        <v>36</v>
      </c>
      <c r="E117" s="117">
        <v>1</v>
      </c>
      <c r="F117" s="117">
        <v>1</v>
      </c>
      <c r="G117" s="117"/>
      <c r="H117" s="118"/>
      <c r="I117" s="65" t="s">
        <v>65</v>
      </c>
      <c r="J117" s="30"/>
      <c r="K117" s="30"/>
      <c r="L117" s="30"/>
      <c r="M117" s="30"/>
    </row>
    <row r="118" spans="1:13" s="68" customFormat="1" ht="17.25" customHeight="1" x14ac:dyDescent="0.35">
      <c r="A118" s="116"/>
      <c r="B118" s="117"/>
      <c r="C118" s="117"/>
      <c r="D118" s="117" t="s">
        <v>36</v>
      </c>
      <c r="E118" s="117">
        <v>1</v>
      </c>
      <c r="F118" s="117">
        <v>1</v>
      </c>
      <c r="G118" s="117"/>
      <c r="H118" s="118"/>
      <c r="I118" s="65" t="s">
        <v>66</v>
      </c>
      <c r="J118" s="30"/>
      <c r="K118" s="30"/>
      <c r="L118" s="30"/>
      <c r="M118" s="30"/>
    </row>
    <row r="119" spans="1:13" s="68" customFormat="1" ht="17.25" customHeight="1" x14ac:dyDescent="0.35">
      <c r="A119" s="116"/>
      <c r="B119" s="117"/>
      <c r="C119" s="117"/>
      <c r="D119" s="117" t="s">
        <v>36</v>
      </c>
      <c r="E119" s="117">
        <v>1</v>
      </c>
      <c r="F119" s="117">
        <v>0</v>
      </c>
      <c r="G119" s="117"/>
      <c r="H119" s="118"/>
      <c r="I119" s="65" t="s">
        <v>67</v>
      </c>
      <c r="J119" s="30"/>
      <c r="K119" s="30"/>
      <c r="L119" s="30"/>
      <c r="M119" s="30"/>
    </row>
    <row r="120" spans="1:13" s="68" customFormat="1" ht="17.25" customHeight="1" x14ac:dyDescent="0.35">
      <c r="A120" s="116"/>
      <c r="B120" s="117"/>
      <c r="C120" s="117"/>
      <c r="D120" s="117" t="s">
        <v>36</v>
      </c>
      <c r="E120" s="117">
        <v>1</v>
      </c>
      <c r="F120" s="117">
        <v>0</v>
      </c>
      <c r="G120" s="117"/>
      <c r="H120" s="118"/>
      <c r="I120" s="65" t="s">
        <v>68</v>
      </c>
      <c r="J120" s="30"/>
      <c r="K120" s="30"/>
      <c r="L120" s="30"/>
      <c r="M120" s="30"/>
    </row>
    <row r="121" spans="1:13" s="68" customFormat="1" ht="17.25" customHeight="1" x14ac:dyDescent="0.35">
      <c r="A121" s="116"/>
      <c r="B121" s="117"/>
      <c r="C121" s="117"/>
      <c r="D121" s="117" t="s">
        <v>37</v>
      </c>
      <c r="E121" s="117">
        <v>256</v>
      </c>
      <c r="F121" s="117"/>
      <c r="G121" s="117"/>
      <c r="H121" s="118"/>
      <c r="I121" s="65" t="s">
        <v>69</v>
      </c>
      <c r="J121" s="30"/>
      <c r="K121" s="30"/>
      <c r="L121" s="30"/>
      <c r="M121" s="30"/>
    </row>
    <row r="122" spans="1:13" s="68" customFormat="1" ht="17.25" customHeight="1" x14ac:dyDescent="0.35">
      <c r="A122" s="116"/>
      <c r="B122" s="117"/>
      <c r="C122" s="117"/>
      <c r="D122" s="117" t="s">
        <v>36</v>
      </c>
      <c r="E122" s="117">
        <v>1</v>
      </c>
      <c r="F122" s="117">
        <v>10</v>
      </c>
      <c r="G122" s="117"/>
      <c r="H122" s="118"/>
      <c r="I122" s="65" t="s">
        <v>154</v>
      </c>
      <c r="J122" s="30"/>
      <c r="K122" s="30"/>
      <c r="L122" s="30"/>
      <c r="M122" s="30"/>
    </row>
    <row r="123" spans="1:13" s="68" customFormat="1" ht="17.25" customHeight="1" x14ac:dyDescent="0.35">
      <c r="A123" s="116"/>
      <c r="B123" s="117"/>
      <c r="C123" s="117"/>
      <c r="D123" s="117" t="s">
        <v>36</v>
      </c>
      <c r="E123" s="117">
        <v>1</v>
      </c>
      <c r="F123" s="117">
        <v>0</v>
      </c>
      <c r="G123" s="117"/>
      <c r="H123" s="118"/>
      <c r="I123" s="65" t="s">
        <v>622</v>
      </c>
      <c r="J123" s="30"/>
      <c r="K123" s="30"/>
      <c r="L123" s="30"/>
      <c r="M123" s="30"/>
    </row>
    <row r="124" spans="1:13" s="68" customFormat="1" ht="17.25" customHeight="1" x14ac:dyDescent="0.35">
      <c r="A124" s="116"/>
      <c r="B124" s="117"/>
      <c r="C124" s="117"/>
      <c r="D124" s="117" t="s">
        <v>36</v>
      </c>
      <c r="E124" s="117">
        <v>1</v>
      </c>
      <c r="F124" s="117">
        <v>0</v>
      </c>
      <c r="G124" s="117"/>
      <c r="H124" s="118"/>
      <c r="I124" s="65" t="s">
        <v>70</v>
      </c>
      <c r="J124" s="30"/>
      <c r="K124" s="30"/>
      <c r="L124" s="30"/>
      <c r="M124" s="30"/>
    </row>
    <row r="125" spans="1:13" s="68" customFormat="1" ht="17.25" customHeight="1" x14ac:dyDescent="0.35">
      <c r="A125" s="116"/>
      <c r="B125" s="117"/>
      <c r="C125" s="117"/>
      <c r="D125" s="117" t="s">
        <v>36</v>
      </c>
      <c r="E125" s="117">
        <v>2</v>
      </c>
      <c r="F125" s="117">
        <v>0</v>
      </c>
      <c r="G125" s="117"/>
      <c r="H125" s="118"/>
      <c r="I125" s="65" t="s">
        <v>71</v>
      </c>
      <c r="J125" s="30"/>
      <c r="K125" s="30"/>
      <c r="L125" s="30"/>
      <c r="M125" s="30"/>
    </row>
    <row r="126" spans="1:13" s="68" customFormat="1" ht="17.25" customHeight="1" x14ac:dyDescent="0.35">
      <c r="A126" s="116"/>
      <c r="B126" s="117"/>
      <c r="C126" s="117"/>
      <c r="D126" s="117" t="s">
        <v>36</v>
      </c>
      <c r="E126" s="117">
        <v>1</v>
      </c>
      <c r="F126" s="117">
        <v>0</v>
      </c>
      <c r="G126" s="117"/>
      <c r="H126" s="118"/>
      <c r="I126" s="65" t="s">
        <v>72</v>
      </c>
      <c r="J126" s="30"/>
      <c r="K126" s="30"/>
      <c r="L126" s="30"/>
      <c r="M126" s="30"/>
    </row>
    <row r="127" spans="1:13" s="68" customFormat="1" ht="17.25" customHeight="1" x14ac:dyDescent="0.35">
      <c r="A127" s="116"/>
      <c r="B127" s="117"/>
      <c r="C127" s="117"/>
      <c r="D127" s="117" t="s">
        <v>36</v>
      </c>
      <c r="E127" s="117">
        <v>1</v>
      </c>
      <c r="F127" s="117">
        <v>0</v>
      </c>
      <c r="G127" s="117"/>
      <c r="H127" s="118"/>
      <c r="I127" s="65" t="s">
        <v>73</v>
      </c>
      <c r="J127" s="30"/>
      <c r="K127" s="30"/>
      <c r="L127" s="30"/>
      <c r="M127" s="30"/>
    </row>
    <row r="128" spans="1:13" s="68" customFormat="1" ht="17.25" customHeight="1" x14ac:dyDescent="0.35">
      <c r="A128" s="116"/>
      <c r="B128" s="117"/>
      <c r="C128" s="117"/>
      <c r="D128" s="117" t="s">
        <v>37</v>
      </c>
      <c r="E128" s="117">
        <v>32</v>
      </c>
      <c r="F128" s="117"/>
      <c r="G128" s="117"/>
      <c r="H128" s="118"/>
      <c r="I128" s="65" t="s">
        <v>74</v>
      </c>
      <c r="J128" s="30"/>
      <c r="K128" s="30"/>
      <c r="L128" s="30"/>
      <c r="M128" s="30"/>
    </row>
    <row r="129" spans="1:13" s="68" customFormat="1" ht="17.25" customHeight="1" x14ac:dyDescent="0.35">
      <c r="A129" s="116"/>
      <c r="B129" s="117"/>
      <c r="C129" s="117"/>
      <c r="D129" s="117" t="s">
        <v>37</v>
      </c>
      <c r="E129" s="117">
        <v>32</v>
      </c>
      <c r="F129" s="117">
        <v>106</v>
      </c>
      <c r="G129" s="117"/>
      <c r="H129" s="118"/>
      <c r="I129" s="65" t="s">
        <v>75</v>
      </c>
      <c r="J129" s="30"/>
      <c r="K129" s="30"/>
      <c r="L129" s="30"/>
      <c r="M129" s="30"/>
    </row>
    <row r="130" spans="1:13" s="68" customFormat="1" ht="17.25" customHeight="1" x14ac:dyDescent="0.35">
      <c r="A130" s="116"/>
      <c r="B130" s="117"/>
      <c r="C130" s="117"/>
      <c r="D130" s="117" t="s">
        <v>36</v>
      </c>
      <c r="E130" s="117">
        <v>1</v>
      </c>
      <c r="F130" s="117">
        <v>60</v>
      </c>
      <c r="G130" s="117"/>
      <c r="H130" s="118"/>
      <c r="I130" s="65" t="s">
        <v>76</v>
      </c>
      <c r="J130" s="30"/>
      <c r="K130" s="30"/>
      <c r="L130" s="30"/>
      <c r="M130" s="30"/>
    </row>
    <row r="131" spans="1:13" s="68" customFormat="1" ht="17.25" customHeight="1" x14ac:dyDescent="0.35">
      <c r="A131" s="116"/>
      <c r="B131" s="117"/>
      <c r="C131" s="117"/>
      <c r="D131" s="117" t="s">
        <v>37</v>
      </c>
      <c r="E131" s="117">
        <v>32</v>
      </c>
      <c r="F131" s="117" t="s">
        <v>158</v>
      </c>
      <c r="G131" s="117"/>
      <c r="H131" s="118"/>
      <c r="I131" s="65" t="s">
        <v>77</v>
      </c>
      <c r="J131" s="30"/>
      <c r="K131" s="30"/>
      <c r="L131" s="30"/>
      <c r="M131" s="30"/>
    </row>
    <row r="132" spans="1:13" s="68" customFormat="1" ht="17.25" customHeight="1" x14ac:dyDescent="0.35">
      <c r="A132" s="116"/>
      <c r="B132" s="117"/>
      <c r="C132" s="117"/>
      <c r="D132" s="117" t="s">
        <v>36</v>
      </c>
      <c r="E132" s="117">
        <v>1</v>
      </c>
      <c r="F132" s="117">
        <v>1</v>
      </c>
      <c r="G132" s="117"/>
      <c r="H132" s="118"/>
      <c r="I132" s="65" t="s">
        <v>78</v>
      </c>
      <c r="J132" s="30"/>
      <c r="K132" s="30"/>
      <c r="L132" s="30"/>
      <c r="M132" s="30"/>
    </row>
    <row r="133" spans="1:13" s="68" customFormat="1" ht="17.25" customHeight="1" x14ac:dyDescent="0.35">
      <c r="A133" s="116"/>
      <c r="B133" s="117"/>
      <c r="C133" s="117"/>
      <c r="D133" s="117" t="s">
        <v>36</v>
      </c>
      <c r="E133" s="117">
        <v>1</v>
      </c>
      <c r="F133" s="117">
        <v>15</v>
      </c>
      <c r="G133" s="117"/>
      <c r="H133" s="118"/>
      <c r="I133" s="65" t="s">
        <v>79</v>
      </c>
      <c r="J133" s="30"/>
      <c r="K133" s="30"/>
      <c r="L133" s="30"/>
      <c r="M133" s="30"/>
    </row>
    <row r="134" spans="1:13" s="68" customFormat="1" ht="17.25" customHeight="1" x14ac:dyDescent="0.35">
      <c r="A134" s="116"/>
      <c r="B134" s="117"/>
      <c r="C134" s="117"/>
      <c r="D134" s="117" t="s">
        <v>36</v>
      </c>
      <c r="E134" s="117">
        <v>1</v>
      </c>
      <c r="F134" s="117">
        <v>3</v>
      </c>
      <c r="G134" s="117"/>
      <c r="H134" s="118"/>
      <c r="I134" s="65" t="s">
        <v>80</v>
      </c>
      <c r="J134" s="30"/>
      <c r="K134" s="30"/>
      <c r="L134" s="30"/>
      <c r="M134" s="30"/>
    </row>
    <row r="135" spans="1:13" s="68" customFormat="1" ht="17.25" customHeight="1" x14ac:dyDescent="0.35">
      <c r="A135" s="116"/>
      <c r="B135" s="117"/>
      <c r="C135" s="117"/>
      <c r="D135" s="117" t="s">
        <v>36</v>
      </c>
      <c r="E135" s="117">
        <v>1</v>
      </c>
      <c r="F135" s="117">
        <v>30</v>
      </c>
      <c r="G135" s="117"/>
      <c r="H135" s="118"/>
      <c r="I135" s="65" t="s">
        <v>81</v>
      </c>
      <c r="J135" s="30"/>
      <c r="K135" s="30"/>
      <c r="L135" s="30"/>
      <c r="M135" s="30"/>
    </row>
    <row r="136" spans="1:13" s="68" customFormat="1" ht="17.25" customHeight="1" x14ac:dyDescent="0.35">
      <c r="A136" s="116"/>
      <c r="B136" s="117"/>
      <c r="C136" s="117"/>
      <c r="D136" s="117" t="s">
        <v>36</v>
      </c>
      <c r="E136" s="117">
        <v>1</v>
      </c>
      <c r="F136" s="117">
        <v>0</v>
      </c>
      <c r="G136" s="117"/>
      <c r="H136" s="118"/>
      <c r="I136" s="65" t="s">
        <v>82</v>
      </c>
      <c r="J136" s="30"/>
      <c r="K136" s="30"/>
      <c r="L136" s="30"/>
      <c r="M136" s="30"/>
    </row>
    <row r="137" spans="1:13" s="68" customFormat="1" ht="17.25" customHeight="1" x14ac:dyDescent="0.35">
      <c r="A137" s="116"/>
      <c r="B137" s="117"/>
      <c r="C137" s="117"/>
      <c r="D137" s="117" t="s">
        <v>36</v>
      </c>
      <c r="E137" s="117">
        <v>2</v>
      </c>
      <c r="F137" s="117">
        <v>5060</v>
      </c>
      <c r="G137" s="117"/>
      <c r="H137" s="118"/>
      <c r="I137" s="65" t="s">
        <v>83</v>
      </c>
      <c r="J137" s="30"/>
      <c r="K137" s="30"/>
      <c r="L137" s="30"/>
      <c r="M137" s="30"/>
    </row>
    <row r="138" spans="1:13" s="68" customFormat="1" ht="17.25" customHeight="1" x14ac:dyDescent="0.35">
      <c r="A138" s="116" t="s">
        <v>101</v>
      </c>
      <c r="B138" s="117" t="s">
        <v>102</v>
      </c>
      <c r="C138" s="117" t="s">
        <v>58</v>
      </c>
      <c r="D138" s="117"/>
      <c r="E138" s="117"/>
      <c r="F138" s="117" t="s">
        <v>6</v>
      </c>
      <c r="G138" s="117" t="s">
        <v>591</v>
      </c>
      <c r="H138" s="118"/>
      <c r="I138" s="65">
        <v>67259</v>
      </c>
      <c r="J138" s="30"/>
      <c r="K138" s="30"/>
      <c r="L138" s="30"/>
      <c r="M138" s="30"/>
    </row>
    <row r="139" spans="1:13" s="68" customFormat="1" ht="17.25" customHeight="1" x14ac:dyDescent="0.35">
      <c r="A139" s="116"/>
      <c r="B139" s="117"/>
      <c r="C139" s="117"/>
      <c r="D139" s="117" t="s">
        <v>37</v>
      </c>
      <c r="E139" s="117">
        <v>128</v>
      </c>
      <c r="F139" s="117">
        <v>8197</v>
      </c>
      <c r="G139" s="117"/>
      <c r="H139" s="118"/>
      <c r="I139" s="65" t="s">
        <v>103</v>
      </c>
      <c r="J139" s="30"/>
      <c r="K139" s="30"/>
      <c r="L139" s="30"/>
      <c r="M139" s="30"/>
    </row>
    <row r="140" spans="1:13" s="68" customFormat="1" ht="17.25" customHeight="1" x14ac:dyDescent="0.35">
      <c r="A140" s="116"/>
      <c r="B140" s="117"/>
      <c r="C140" s="117"/>
      <c r="D140" s="117" t="s">
        <v>36</v>
      </c>
      <c r="E140" s="117">
        <v>1</v>
      </c>
      <c r="F140" s="117">
        <v>1</v>
      </c>
      <c r="G140" s="117"/>
      <c r="H140" s="118"/>
      <c r="I140" s="65" t="s">
        <v>104</v>
      </c>
      <c r="J140" s="30"/>
      <c r="K140" s="30"/>
      <c r="L140" s="30"/>
      <c r="M140" s="30"/>
    </row>
    <row r="141" spans="1:13" s="68" customFormat="1" ht="17.25" customHeight="1" x14ac:dyDescent="0.35">
      <c r="A141" s="116"/>
      <c r="B141" s="117"/>
      <c r="C141" s="117"/>
      <c r="D141" s="117" t="s">
        <v>37</v>
      </c>
      <c r="E141" s="117">
        <v>128</v>
      </c>
      <c r="F141" s="117" t="s">
        <v>476</v>
      </c>
      <c r="G141" s="117"/>
      <c r="H141" s="118"/>
      <c r="I141" s="65" t="s">
        <v>105</v>
      </c>
      <c r="J141" s="30"/>
      <c r="K141" s="30"/>
      <c r="L141" s="30"/>
      <c r="M141" s="30"/>
    </row>
    <row r="142" spans="1:13" s="68" customFormat="1" ht="17.25" customHeight="1" x14ac:dyDescent="0.35">
      <c r="A142" s="116"/>
      <c r="B142" s="117"/>
      <c r="C142" s="117"/>
      <c r="D142" s="117" t="s">
        <v>37</v>
      </c>
      <c r="E142" s="117">
        <v>64</v>
      </c>
      <c r="F142" s="117" t="s">
        <v>878</v>
      </c>
      <c r="G142" s="117"/>
      <c r="H142" s="118"/>
      <c r="I142" s="65" t="s">
        <v>106</v>
      </c>
      <c r="J142" s="30"/>
      <c r="K142" s="30"/>
      <c r="L142" s="30"/>
      <c r="M142" s="30"/>
    </row>
    <row r="143" spans="1:13" s="68" customFormat="1" ht="17.25" customHeight="1" x14ac:dyDescent="0.35">
      <c r="A143" s="116"/>
      <c r="B143" s="117"/>
      <c r="C143" s="117"/>
      <c r="D143" s="117" t="s">
        <v>36</v>
      </c>
      <c r="E143" s="117">
        <v>4</v>
      </c>
      <c r="F143" s="117">
        <v>1088</v>
      </c>
      <c r="G143" s="117"/>
      <c r="H143" s="118"/>
      <c r="I143" s="65" t="s">
        <v>107</v>
      </c>
      <c r="J143" s="30"/>
      <c r="K143" s="30"/>
      <c r="L143" s="30"/>
      <c r="M143" s="30"/>
    </row>
    <row r="144" spans="1:13" s="68" customFormat="1" ht="17.25" customHeight="1" x14ac:dyDescent="0.35">
      <c r="A144" s="116"/>
      <c r="B144" s="117"/>
      <c r="C144" s="117"/>
      <c r="D144" s="117" t="s">
        <v>37</v>
      </c>
      <c r="E144" s="117">
        <v>256</v>
      </c>
      <c r="F144" s="117"/>
      <c r="G144" s="117"/>
      <c r="H144" s="118"/>
      <c r="I144" s="65" t="s">
        <v>108</v>
      </c>
      <c r="J144" s="30"/>
      <c r="K144" s="30"/>
      <c r="L144" s="30"/>
      <c r="M144" s="30"/>
    </row>
    <row r="145" spans="1:13" s="68" customFormat="1" ht="17.25" customHeight="1" x14ac:dyDescent="0.35">
      <c r="A145" s="116"/>
      <c r="B145" s="117"/>
      <c r="C145" s="117"/>
      <c r="D145" s="117" t="s">
        <v>36</v>
      </c>
      <c r="E145" s="117">
        <v>1</v>
      </c>
      <c r="F145" s="117">
        <v>1</v>
      </c>
      <c r="G145" s="117"/>
      <c r="H145" s="118"/>
      <c r="I145" s="65" t="s">
        <v>109</v>
      </c>
      <c r="J145" s="30"/>
      <c r="K145" s="30"/>
      <c r="L145" s="30"/>
      <c r="M145" s="30"/>
    </row>
    <row r="146" spans="1:13" s="68" customFormat="1" ht="17.25" customHeight="1" x14ac:dyDescent="0.35">
      <c r="A146" s="116" t="s">
        <v>143</v>
      </c>
      <c r="B146" s="117" t="s">
        <v>144</v>
      </c>
      <c r="C146" s="117" t="s">
        <v>58</v>
      </c>
      <c r="D146" s="117"/>
      <c r="E146" s="117"/>
      <c r="F146" s="117"/>
      <c r="G146" s="117" t="s">
        <v>591</v>
      </c>
      <c r="H146" s="118"/>
      <c r="I146" s="65">
        <v>69744</v>
      </c>
      <c r="J146" s="30"/>
      <c r="K146" s="30"/>
      <c r="L146" s="30"/>
      <c r="M146" s="30"/>
    </row>
    <row r="147" spans="1:13" s="68" customFormat="1" ht="17.25" customHeight="1" x14ac:dyDescent="0.35">
      <c r="A147" s="116"/>
      <c r="B147" s="117"/>
      <c r="C147" s="117"/>
      <c r="D147" s="117" t="s">
        <v>36</v>
      </c>
      <c r="E147" s="117">
        <v>1</v>
      </c>
      <c r="F147" s="117">
        <v>14</v>
      </c>
      <c r="G147" s="117"/>
      <c r="H147" s="118"/>
      <c r="I147" s="65" t="s">
        <v>173</v>
      </c>
      <c r="J147" s="30"/>
      <c r="K147" s="30"/>
      <c r="L147" s="30"/>
      <c r="M147" s="30"/>
    </row>
    <row r="148" spans="1:13" s="68" customFormat="1" ht="17.25" customHeight="1" x14ac:dyDescent="0.35">
      <c r="A148" s="116"/>
      <c r="B148" s="117"/>
      <c r="C148" s="117"/>
      <c r="D148" s="117" t="s">
        <v>36</v>
      </c>
      <c r="E148" s="117">
        <v>2</v>
      </c>
      <c r="F148" s="117">
        <v>5060</v>
      </c>
      <c r="G148" s="117"/>
      <c r="H148" s="118"/>
      <c r="I148" s="65" t="s">
        <v>84</v>
      </c>
      <c r="J148" s="30"/>
      <c r="K148" s="30"/>
      <c r="L148" s="30"/>
      <c r="M148" s="30"/>
    </row>
    <row r="149" spans="1:13" s="68" customFormat="1" ht="17.25" customHeight="1" x14ac:dyDescent="0.35">
      <c r="A149" s="116"/>
      <c r="B149" s="117"/>
      <c r="C149" s="117"/>
      <c r="D149" s="117" t="s">
        <v>36</v>
      </c>
      <c r="E149" s="117">
        <v>4</v>
      </c>
      <c r="F149" s="117">
        <v>0</v>
      </c>
      <c r="G149" s="117"/>
      <c r="H149" s="118"/>
      <c r="I149" s="65" t="s">
        <v>85</v>
      </c>
      <c r="J149" s="30"/>
      <c r="K149" s="30"/>
      <c r="L149" s="30"/>
      <c r="M149" s="30"/>
    </row>
    <row r="150" spans="1:13" s="68" customFormat="1" ht="17.25" customHeight="1" x14ac:dyDescent="0.35">
      <c r="A150" s="116"/>
      <c r="B150" s="117"/>
      <c r="C150" s="117"/>
      <c r="D150" s="117" t="s">
        <v>36</v>
      </c>
      <c r="E150" s="117">
        <v>4</v>
      </c>
      <c r="F150" s="117">
        <v>600000</v>
      </c>
      <c r="G150" s="117"/>
      <c r="H150" s="118"/>
      <c r="I150" s="65" t="s">
        <v>86</v>
      </c>
      <c r="J150" s="30"/>
      <c r="K150" s="30"/>
      <c r="L150" s="30"/>
      <c r="M150" s="30"/>
    </row>
    <row r="151" spans="1:13" s="68" customFormat="1" ht="17.25" customHeight="1" x14ac:dyDescent="0.35">
      <c r="A151" s="116"/>
      <c r="B151" s="117"/>
      <c r="C151" s="117"/>
      <c r="D151" s="117" t="s">
        <v>36</v>
      </c>
      <c r="E151" s="117">
        <v>4</v>
      </c>
      <c r="F151" s="117">
        <v>2000</v>
      </c>
      <c r="G151" s="117"/>
      <c r="H151" s="118"/>
      <c r="I151" s="65" t="s">
        <v>87</v>
      </c>
      <c r="J151" s="30"/>
      <c r="K151" s="30"/>
      <c r="L151" s="30"/>
      <c r="M151" s="30"/>
    </row>
    <row r="152" spans="1:13" s="68" customFormat="1" ht="17.25" customHeight="1" x14ac:dyDescent="0.35">
      <c r="A152" s="116"/>
      <c r="B152" s="117"/>
      <c r="C152" s="117"/>
      <c r="D152" s="117" t="s">
        <v>36</v>
      </c>
      <c r="E152" s="117">
        <v>4</v>
      </c>
      <c r="F152" s="117">
        <v>16000</v>
      </c>
      <c r="G152" s="117"/>
      <c r="H152" s="118"/>
      <c r="I152" s="65" t="s">
        <v>88</v>
      </c>
      <c r="J152" s="30"/>
      <c r="K152" s="30"/>
      <c r="L152" s="30"/>
      <c r="M152" s="30"/>
    </row>
    <row r="153" spans="1:13" s="68" customFormat="1" ht="17.25" customHeight="1" x14ac:dyDescent="0.35">
      <c r="A153" s="116"/>
      <c r="B153" s="117"/>
      <c r="C153" s="117"/>
      <c r="D153" s="117" t="s">
        <v>36</v>
      </c>
      <c r="E153" s="117">
        <v>4</v>
      </c>
      <c r="F153" s="117">
        <v>17000</v>
      </c>
      <c r="G153" s="117"/>
      <c r="H153" s="118"/>
      <c r="I153" s="65" t="s">
        <v>89</v>
      </c>
      <c r="J153" s="30"/>
      <c r="K153" s="30"/>
      <c r="L153" s="30"/>
      <c r="M153" s="30"/>
    </row>
    <row r="154" spans="1:13" s="68" customFormat="1" ht="17.25" customHeight="1" x14ac:dyDescent="0.35">
      <c r="A154" s="116"/>
      <c r="B154" s="117"/>
      <c r="C154" s="117"/>
      <c r="D154" s="117" t="s">
        <v>36</v>
      </c>
      <c r="E154" s="117">
        <v>4</v>
      </c>
      <c r="F154" s="117">
        <v>0</v>
      </c>
      <c r="G154" s="117"/>
      <c r="H154" s="118"/>
      <c r="I154" s="65" t="s">
        <v>90</v>
      </c>
      <c r="J154" s="30"/>
      <c r="K154" s="30"/>
      <c r="L154" s="30"/>
      <c r="M154" s="30"/>
    </row>
    <row r="155" spans="1:13" s="68" customFormat="1" ht="17.25" customHeight="1" x14ac:dyDescent="0.35">
      <c r="A155" s="116"/>
      <c r="B155" s="117"/>
      <c r="C155" s="117"/>
      <c r="D155" s="117" t="s">
        <v>36</v>
      </c>
      <c r="E155" s="117">
        <v>4</v>
      </c>
      <c r="F155" s="117">
        <v>0</v>
      </c>
      <c r="G155" s="117"/>
      <c r="H155" s="118"/>
      <c r="I155" s="65" t="s">
        <v>174</v>
      </c>
      <c r="J155" s="30"/>
      <c r="K155" s="30"/>
      <c r="L155" s="30"/>
      <c r="M155" s="30"/>
    </row>
    <row r="156" spans="1:13" s="68" customFormat="1" ht="17.25" customHeight="1" x14ac:dyDescent="0.35">
      <c r="A156" s="116"/>
      <c r="B156" s="117"/>
      <c r="C156" s="117"/>
      <c r="D156" s="117" t="s">
        <v>36</v>
      </c>
      <c r="E156" s="117">
        <v>2</v>
      </c>
      <c r="F156" s="117">
        <v>1500</v>
      </c>
      <c r="G156" s="117"/>
      <c r="H156" s="118"/>
      <c r="I156" s="65" t="s">
        <v>91</v>
      </c>
      <c r="J156" s="30"/>
      <c r="K156" s="30"/>
      <c r="L156" s="30"/>
      <c r="M156" s="30"/>
    </row>
    <row r="157" spans="1:13" s="68" customFormat="1" ht="17.25" customHeight="1" x14ac:dyDescent="0.35">
      <c r="A157" s="116"/>
      <c r="B157" s="117"/>
      <c r="C157" s="117"/>
      <c r="D157" s="117" t="s">
        <v>36</v>
      </c>
      <c r="E157" s="117">
        <v>1</v>
      </c>
      <c r="F157" s="117">
        <v>0</v>
      </c>
      <c r="G157" s="117"/>
      <c r="H157" s="118"/>
      <c r="I157" s="65" t="s">
        <v>92</v>
      </c>
      <c r="J157" s="30"/>
      <c r="K157" s="30"/>
      <c r="L157" s="30"/>
      <c r="M157" s="30"/>
    </row>
    <row r="158" spans="1:13" s="68" customFormat="1" ht="17.25" customHeight="1" x14ac:dyDescent="0.35">
      <c r="A158" s="116"/>
      <c r="B158" s="117"/>
      <c r="C158" s="117"/>
      <c r="D158" s="117" t="s">
        <v>36</v>
      </c>
      <c r="E158" s="117">
        <v>1</v>
      </c>
      <c r="F158" s="117">
        <v>0</v>
      </c>
      <c r="G158" s="117"/>
      <c r="H158" s="118"/>
      <c r="I158" s="65" t="s">
        <v>93</v>
      </c>
      <c r="J158" s="30"/>
      <c r="K158" s="30"/>
      <c r="L158" s="30"/>
      <c r="M158" s="30"/>
    </row>
    <row r="159" spans="1:13" s="68" customFormat="1" ht="17.25" customHeight="1" x14ac:dyDescent="0.35">
      <c r="A159" s="116"/>
      <c r="B159" s="117"/>
      <c r="C159" s="117"/>
      <c r="D159" s="117" t="s">
        <v>36</v>
      </c>
      <c r="E159" s="117">
        <v>1</v>
      </c>
      <c r="F159" s="117">
        <v>0</v>
      </c>
      <c r="G159" s="117"/>
      <c r="H159" s="118"/>
      <c r="I159" s="65" t="s">
        <v>94</v>
      </c>
      <c r="J159" s="30"/>
      <c r="K159" s="30"/>
      <c r="L159" s="30"/>
      <c r="M159" s="30"/>
    </row>
    <row r="160" spans="1:13" s="68" customFormat="1" ht="17.25" customHeight="1" x14ac:dyDescent="0.35">
      <c r="A160" s="116"/>
      <c r="B160" s="117"/>
      <c r="C160" s="117"/>
      <c r="D160" s="117" t="s">
        <v>36</v>
      </c>
      <c r="E160" s="117">
        <v>1</v>
      </c>
      <c r="F160" s="117">
        <v>3</v>
      </c>
      <c r="G160" s="117"/>
      <c r="H160" s="118"/>
      <c r="I160" s="65" t="s">
        <v>95</v>
      </c>
      <c r="J160" s="30"/>
      <c r="K160" s="30"/>
      <c r="L160" s="30"/>
      <c r="M160" s="30"/>
    </row>
    <row r="161" spans="1:13" s="68" customFormat="1" ht="17.25" customHeight="1" x14ac:dyDescent="0.35">
      <c r="A161" s="116"/>
      <c r="B161" s="117"/>
      <c r="C161" s="117"/>
      <c r="D161" s="117" t="s">
        <v>36</v>
      </c>
      <c r="E161" s="117">
        <v>1</v>
      </c>
      <c r="F161" s="117">
        <v>7</v>
      </c>
      <c r="G161" s="117"/>
      <c r="H161" s="118"/>
      <c r="I161" s="65" t="s">
        <v>96</v>
      </c>
      <c r="J161" s="30"/>
      <c r="K161" s="30"/>
      <c r="L161" s="30"/>
      <c r="M161" s="30"/>
    </row>
    <row r="162" spans="1:13" s="68" customFormat="1" ht="17.25" customHeight="1" x14ac:dyDescent="0.35">
      <c r="A162" s="116"/>
      <c r="B162" s="117"/>
      <c r="C162" s="117"/>
      <c r="D162" s="117" t="s">
        <v>36</v>
      </c>
      <c r="E162" s="117">
        <v>1</v>
      </c>
      <c r="F162" s="117">
        <v>3</v>
      </c>
      <c r="G162" s="117"/>
      <c r="H162" s="118"/>
      <c r="I162" s="65" t="s">
        <v>97</v>
      </c>
      <c r="J162" s="30"/>
      <c r="K162" s="30"/>
      <c r="L162" s="30"/>
      <c r="M162" s="30"/>
    </row>
    <row r="163" spans="1:13" s="68" customFormat="1" ht="17.25" customHeight="1" x14ac:dyDescent="0.35">
      <c r="A163" s="116"/>
      <c r="B163" s="117"/>
      <c r="C163" s="117"/>
      <c r="D163" s="117" t="s">
        <v>36</v>
      </c>
      <c r="E163" s="117">
        <v>1</v>
      </c>
      <c r="F163" s="117">
        <v>0</v>
      </c>
      <c r="G163" s="117"/>
      <c r="H163" s="118"/>
      <c r="I163" s="65" t="s">
        <v>98</v>
      </c>
      <c r="J163" s="30"/>
      <c r="K163" s="30"/>
      <c r="L163" s="30"/>
      <c r="M163" s="30"/>
    </row>
    <row r="164" spans="1:13" s="68" customFormat="1" ht="17.25" customHeight="1" x14ac:dyDescent="0.35">
      <c r="A164" s="116"/>
      <c r="B164" s="117"/>
      <c r="C164" s="117"/>
      <c r="D164" s="117" t="s">
        <v>37</v>
      </c>
      <c r="E164" s="117">
        <v>256</v>
      </c>
      <c r="F164" s="117"/>
      <c r="G164" s="117"/>
      <c r="H164" s="118"/>
      <c r="I164" s="65" t="s">
        <v>99</v>
      </c>
      <c r="J164" s="30"/>
      <c r="K164" s="30"/>
      <c r="L164" s="30"/>
      <c r="M164" s="30"/>
    </row>
    <row r="165" spans="1:13" s="68" customFormat="1" ht="17.25" customHeight="1" x14ac:dyDescent="0.35">
      <c r="A165" s="116"/>
      <c r="B165" s="117"/>
      <c r="C165" s="117"/>
      <c r="D165" s="117" t="s">
        <v>37</v>
      </c>
      <c r="E165" s="117">
        <v>256</v>
      </c>
      <c r="F165" s="117"/>
      <c r="G165" s="117"/>
      <c r="H165" s="118"/>
      <c r="I165" s="65" t="s">
        <v>100</v>
      </c>
      <c r="J165" s="30"/>
      <c r="K165" s="30"/>
      <c r="L165" s="30"/>
      <c r="M165" s="30"/>
    </row>
    <row r="166" spans="1:13" s="68" customFormat="1" ht="17.25" customHeight="1" x14ac:dyDescent="0.35">
      <c r="A166" s="116"/>
      <c r="B166" s="117"/>
      <c r="C166" s="117"/>
      <c r="D166" s="117" t="s">
        <v>36</v>
      </c>
      <c r="E166" s="117">
        <v>1</v>
      </c>
      <c r="F166" s="117">
        <v>0</v>
      </c>
      <c r="G166" s="117"/>
      <c r="H166" s="118"/>
      <c r="I166" s="65" t="s">
        <v>175</v>
      </c>
      <c r="J166" s="30"/>
      <c r="K166" s="30"/>
      <c r="L166" s="30"/>
      <c r="M166" s="30"/>
    </row>
    <row r="167" spans="1:13" s="68" customFormat="1" ht="17.25" customHeight="1" x14ac:dyDescent="0.35">
      <c r="A167" s="116"/>
      <c r="B167" s="117"/>
      <c r="C167" s="117"/>
      <c r="D167" s="117" t="s">
        <v>36</v>
      </c>
      <c r="E167" s="117">
        <v>4</v>
      </c>
      <c r="F167" s="117">
        <v>0</v>
      </c>
      <c r="G167" s="117"/>
      <c r="H167" s="118"/>
      <c r="I167" s="65" t="s">
        <v>176</v>
      </c>
      <c r="J167" s="30"/>
      <c r="K167" s="30"/>
      <c r="L167" s="30"/>
      <c r="M167" s="30"/>
    </row>
    <row r="168" spans="1:13" s="68" customFormat="1" ht="17.25" customHeight="1" x14ac:dyDescent="0.35">
      <c r="A168" s="116"/>
      <c r="B168" s="117"/>
      <c r="C168" s="117"/>
      <c r="D168" s="117" t="s">
        <v>36</v>
      </c>
      <c r="E168" s="117">
        <v>4</v>
      </c>
      <c r="F168" s="117">
        <v>0</v>
      </c>
      <c r="G168" s="117"/>
      <c r="H168" s="118"/>
      <c r="I168" s="65" t="s">
        <v>624</v>
      </c>
      <c r="J168" s="30"/>
      <c r="K168" s="30"/>
      <c r="L168" s="30"/>
      <c r="M168" s="30"/>
    </row>
    <row r="169" spans="1:13" s="68" customFormat="1" ht="17.25" customHeight="1" x14ac:dyDescent="0.35">
      <c r="A169" s="116"/>
      <c r="B169" s="117"/>
      <c r="C169" s="117"/>
      <c r="D169" s="117" t="s">
        <v>36</v>
      </c>
      <c r="E169" s="117">
        <v>4</v>
      </c>
      <c r="F169" s="117"/>
      <c r="G169" s="117"/>
      <c r="H169" s="118"/>
      <c r="I169" s="65" t="s">
        <v>313</v>
      </c>
      <c r="J169" s="30"/>
      <c r="K169" s="30"/>
      <c r="L169" s="30"/>
      <c r="M169" s="30"/>
    </row>
    <row r="170" spans="1:13" s="68" customFormat="1" ht="17.25" customHeight="1" x14ac:dyDescent="0.35">
      <c r="A170" s="116"/>
      <c r="B170" s="117"/>
      <c r="C170" s="117"/>
      <c r="D170" s="117" t="s">
        <v>36</v>
      </c>
      <c r="E170" s="117">
        <v>4</v>
      </c>
      <c r="F170" s="117"/>
      <c r="G170" s="117"/>
      <c r="H170" s="118"/>
      <c r="I170" s="65" t="s">
        <v>314</v>
      </c>
      <c r="J170" s="30"/>
      <c r="K170" s="30"/>
      <c r="L170" s="30"/>
      <c r="M170" s="30"/>
    </row>
    <row r="171" spans="1:13" s="68" customFormat="1" ht="17.25" customHeight="1" x14ac:dyDescent="0.35">
      <c r="A171" s="116"/>
      <c r="B171" s="117"/>
      <c r="C171" s="117"/>
      <c r="D171" s="117" t="s">
        <v>36</v>
      </c>
      <c r="E171" s="117">
        <v>4</v>
      </c>
      <c r="F171" s="117"/>
      <c r="G171" s="117"/>
      <c r="H171" s="118"/>
      <c r="I171" s="65" t="s">
        <v>315</v>
      </c>
      <c r="J171" s="30"/>
      <c r="K171" s="30"/>
      <c r="L171" s="30"/>
      <c r="M171" s="30"/>
    </row>
    <row r="172" spans="1:13" s="68" customFormat="1" ht="17.25" customHeight="1" x14ac:dyDescent="0.35">
      <c r="A172" s="116"/>
      <c r="B172" s="117"/>
      <c r="C172" s="117"/>
      <c r="D172" s="117" t="s">
        <v>36</v>
      </c>
      <c r="E172" s="117">
        <v>4</v>
      </c>
      <c r="F172" s="117"/>
      <c r="G172" s="117"/>
      <c r="H172" s="118"/>
      <c r="I172" s="65" t="s">
        <v>316</v>
      </c>
      <c r="J172" s="30"/>
      <c r="K172" s="30"/>
      <c r="L172" s="30"/>
      <c r="M172" s="30"/>
    </row>
    <row r="173" spans="1:13" s="68" customFormat="1" ht="17.25" customHeight="1" x14ac:dyDescent="0.35">
      <c r="A173" s="116"/>
      <c r="B173" s="117"/>
      <c r="C173" s="117"/>
      <c r="D173" s="117" t="s">
        <v>36</v>
      </c>
      <c r="E173" s="117">
        <v>4</v>
      </c>
      <c r="F173" s="117"/>
      <c r="G173" s="117"/>
      <c r="H173" s="118"/>
      <c r="I173" s="65" t="s">
        <v>317</v>
      </c>
      <c r="J173" s="30"/>
      <c r="K173" s="30"/>
      <c r="L173" s="30"/>
      <c r="M173" s="30"/>
    </row>
    <row r="174" spans="1:13" s="68" customFormat="1" ht="17.25" customHeight="1" x14ac:dyDescent="0.35">
      <c r="A174" s="116"/>
      <c r="B174" s="117"/>
      <c r="C174" s="117"/>
      <c r="D174" s="117" t="s">
        <v>36</v>
      </c>
      <c r="E174" s="117">
        <v>4</v>
      </c>
      <c r="F174" s="117"/>
      <c r="G174" s="117"/>
      <c r="H174" s="118"/>
      <c r="I174" s="65" t="s">
        <v>318</v>
      </c>
      <c r="J174" s="30"/>
      <c r="K174" s="30"/>
      <c r="L174" s="30"/>
      <c r="M174" s="30"/>
    </row>
    <row r="175" spans="1:13" s="68" customFormat="1" ht="17.25" customHeight="1" x14ac:dyDescent="0.35">
      <c r="A175" s="116"/>
      <c r="B175" s="117"/>
      <c r="C175" s="117"/>
      <c r="D175" s="117" t="s">
        <v>36</v>
      </c>
      <c r="E175" s="117">
        <v>1</v>
      </c>
      <c r="F175" s="117"/>
      <c r="G175" s="117"/>
      <c r="H175" s="118"/>
      <c r="I175" s="65" t="s">
        <v>312</v>
      </c>
      <c r="J175" s="30"/>
      <c r="K175" s="30"/>
      <c r="L175" s="30"/>
      <c r="M175" s="30"/>
    </row>
    <row r="176" spans="1:13" s="68" customFormat="1" ht="17.25" customHeight="1" x14ac:dyDescent="0.35">
      <c r="A176" s="116"/>
      <c r="B176" s="117"/>
      <c r="C176" s="117"/>
      <c r="D176" s="117" t="s">
        <v>36</v>
      </c>
      <c r="E176" s="117">
        <v>2</v>
      </c>
      <c r="F176" s="117"/>
      <c r="G176" s="117"/>
      <c r="H176" s="118"/>
      <c r="I176" s="65" t="s">
        <v>319</v>
      </c>
      <c r="J176" s="30"/>
      <c r="K176" s="30"/>
      <c r="L176" s="30"/>
      <c r="M176" s="30"/>
    </row>
    <row r="177" spans="1:13" s="68" customFormat="1" ht="17.25" customHeight="1" x14ac:dyDescent="0.35">
      <c r="A177" s="116"/>
      <c r="B177" s="117"/>
      <c r="C177" s="117"/>
      <c r="D177" s="117" t="s">
        <v>36</v>
      </c>
      <c r="E177" s="117">
        <v>4</v>
      </c>
      <c r="F177" s="117"/>
      <c r="G177" s="117"/>
      <c r="H177" s="118"/>
      <c r="I177" s="65" t="s">
        <v>320</v>
      </c>
      <c r="J177" s="30"/>
      <c r="K177" s="30"/>
      <c r="L177" s="30"/>
      <c r="M177" s="30"/>
    </row>
    <row r="178" spans="1:13" s="68" customFormat="1" ht="17.25" customHeight="1" x14ac:dyDescent="0.35">
      <c r="A178" s="116"/>
      <c r="B178" s="117"/>
      <c r="C178" s="117"/>
      <c r="D178" s="117" t="s">
        <v>36</v>
      </c>
      <c r="E178" s="117">
        <v>1</v>
      </c>
      <c r="F178" s="117"/>
      <c r="G178" s="117"/>
      <c r="H178" s="118"/>
      <c r="I178" s="65" t="s">
        <v>385</v>
      </c>
      <c r="J178" s="30"/>
      <c r="K178" s="30"/>
      <c r="L178" s="30"/>
      <c r="M178" s="30"/>
    </row>
    <row r="179" spans="1:13" s="68" customFormat="1" ht="17.25" customHeight="1" x14ac:dyDescent="0.35">
      <c r="A179" s="116"/>
      <c r="B179" s="117"/>
      <c r="C179" s="117"/>
      <c r="D179" s="117" t="s">
        <v>36</v>
      </c>
      <c r="E179" s="117">
        <v>1</v>
      </c>
      <c r="F179" s="117"/>
      <c r="G179" s="117"/>
      <c r="H179" s="118"/>
      <c r="I179" s="65" t="s">
        <v>386</v>
      </c>
      <c r="J179" s="30"/>
      <c r="K179" s="30"/>
      <c r="L179" s="30"/>
      <c r="M179" s="30"/>
    </row>
    <row r="180" spans="1:13" s="68" customFormat="1" ht="17.25" customHeight="1" x14ac:dyDescent="0.35">
      <c r="A180" s="116"/>
      <c r="B180" s="117"/>
      <c r="C180" s="117"/>
      <c r="D180" s="117" t="s">
        <v>36</v>
      </c>
      <c r="E180" s="117">
        <v>4</v>
      </c>
      <c r="F180" s="117"/>
      <c r="G180" s="117"/>
      <c r="H180" s="118"/>
      <c r="I180" s="65" t="s">
        <v>387</v>
      </c>
      <c r="J180" s="30"/>
      <c r="K180" s="30"/>
      <c r="L180" s="30"/>
      <c r="M180" s="30"/>
    </row>
    <row r="181" spans="1:13" s="68" customFormat="1" ht="17.25" customHeight="1" x14ac:dyDescent="0.35">
      <c r="A181" s="116"/>
      <c r="B181" s="117"/>
      <c r="C181" s="117"/>
      <c r="D181" s="117" t="s">
        <v>36</v>
      </c>
      <c r="E181" s="117">
        <v>1</v>
      </c>
      <c r="F181" s="117"/>
      <c r="G181" s="117"/>
      <c r="H181" s="118"/>
      <c r="I181" s="65" t="s">
        <v>388</v>
      </c>
      <c r="J181" s="30"/>
      <c r="K181" s="30"/>
      <c r="L181" s="30"/>
      <c r="M181" s="30"/>
    </row>
    <row r="182" spans="1:13" s="68" customFormat="1" ht="17.25" customHeight="1" x14ac:dyDescent="0.35">
      <c r="A182" s="116"/>
      <c r="B182" s="117"/>
      <c r="C182" s="117"/>
      <c r="D182" s="117" t="s">
        <v>36</v>
      </c>
      <c r="E182" s="117">
        <v>1</v>
      </c>
      <c r="F182" s="117"/>
      <c r="G182" s="117"/>
      <c r="H182" s="118"/>
      <c r="I182" s="65" t="s">
        <v>485</v>
      </c>
      <c r="J182" s="30"/>
      <c r="K182" s="30"/>
      <c r="L182" s="30"/>
      <c r="M182" s="30"/>
    </row>
    <row r="183" spans="1:13" s="68" customFormat="1" ht="17.25" customHeight="1" x14ac:dyDescent="0.35">
      <c r="A183" s="116"/>
      <c r="B183" s="117"/>
      <c r="C183" s="117"/>
      <c r="D183" s="117" t="s">
        <v>36</v>
      </c>
      <c r="E183" s="117">
        <v>4</v>
      </c>
      <c r="F183" s="117"/>
      <c r="G183" s="117"/>
      <c r="H183" s="118"/>
      <c r="I183" s="65" t="s">
        <v>928</v>
      </c>
      <c r="J183" s="30"/>
      <c r="K183" s="30"/>
      <c r="L183" s="30"/>
      <c r="M183" s="30"/>
    </row>
    <row r="184" spans="1:13" s="68" customFormat="1" ht="17.25" customHeight="1" x14ac:dyDescent="0.35">
      <c r="A184" s="116"/>
      <c r="B184" s="117"/>
      <c r="C184" s="117"/>
      <c r="D184" s="117" t="s">
        <v>36</v>
      </c>
      <c r="E184" s="117">
        <v>4</v>
      </c>
      <c r="F184" s="117"/>
      <c r="G184" s="117"/>
      <c r="H184" s="118"/>
      <c r="I184" s="65" t="s">
        <v>929</v>
      </c>
      <c r="J184" s="30"/>
      <c r="K184" s="30"/>
      <c r="L184" s="30"/>
      <c r="M184" s="30"/>
    </row>
    <row r="185" spans="1:13" s="68" customFormat="1" ht="17.25" customHeight="1" x14ac:dyDescent="0.35">
      <c r="A185" s="116"/>
      <c r="B185" s="117"/>
      <c r="C185" s="117"/>
      <c r="D185" s="117" t="s">
        <v>37</v>
      </c>
      <c r="E185" s="117">
        <v>50</v>
      </c>
      <c r="F185" s="117"/>
      <c r="G185" s="117"/>
      <c r="H185" s="118"/>
      <c r="I185" s="65" t="s">
        <v>930</v>
      </c>
      <c r="J185" s="30"/>
      <c r="K185" s="30"/>
      <c r="L185" s="30"/>
      <c r="M185" s="30"/>
    </row>
    <row r="186" spans="1:13" s="68" customFormat="1" ht="17.25" customHeight="1" x14ac:dyDescent="0.35">
      <c r="A186" s="116"/>
      <c r="B186" s="117"/>
      <c r="C186" s="117"/>
      <c r="D186" s="117" t="s">
        <v>36</v>
      </c>
      <c r="E186" s="117">
        <v>4</v>
      </c>
      <c r="F186" s="117">
        <v>3000</v>
      </c>
      <c r="G186" s="117"/>
      <c r="H186" s="118"/>
      <c r="I186" s="65" t="s">
        <v>931</v>
      </c>
      <c r="J186" s="30"/>
      <c r="K186" s="30"/>
      <c r="L186" s="30"/>
      <c r="M186" s="30"/>
    </row>
    <row r="187" spans="1:13" s="68" customFormat="1" ht="17.25" customHeight="1" x14ac:dyDescent="0.35">
      <c r="A187" s="116"/>
      <c r="B187" s="117"/>
      <c r="C187" s="117"/>
      <c r="D187" s="117" t="s">
        <v>37</v>
      </c>
      <c r="E187" s="117">
        <v>362</v>
      </c>
      <c r="F187" s="117"/>
      <c r="G187" s="117"/>
      <c r="H187" s="118"/>
      <c r="I187" s="65" t="s">
        <v>222</v>
      </c>
      <c r="J187" s="30"/>
      <c r="K187" s="30"/>
      <c r="L187" s="30"/>
      <c r="M187" s="30"/>
    </row>
    <row r="188" spans="1:13" s="68" customFormat="1" ht="17.25" customHeight="1" x14ac:dyDescent="0.35">
      <c r="A188" s="116" t="s">
        <v>146</v>
      </c>
      <c r="B188" s="117" t="s">
        <v>145</v>
      </c>
      <c r="C188" s="117" t="s">
        <v>58</v>
      </c>
      <c r="D188" s="117"/>
      <c r="E188" s="117"/>
      <c r="F188" s="117"/>
      <c r="G188" s="117" t="s">
        <v>591</v>
      </c>
      <c r="H188" s="118"/>
      <c r="I188" s="65">
        <v>69673</v>
      </c>
      <c r="J188" s="30"/>
      <c r="K188" s="30"/>
      <c r="L188" s="30"/>
      <c r="M188" s="30"/>
    </row>
    <row r="189" spans="1:13" s="68" customFormat="1" ht="17.25" customHeight="1" x14ac:dyDescent="0.35">
      <c r="A189" s="116"/>
      <c r="B189" s="117"/>
      <c r="C189" s="117"/>
      <c r="D189" s="117" t="s">
        <v>36</v>
      </c>
      <c r="E189" s="117">
        <v>1</v>
      </c>
      <c r="F189" s="117">
        <v>2</v>
      </c>
      <c r="G189" s="117"/>
      <c r="H189" s="118"/>
      <c r="I189" s="65" t="s">
        <v>625</v>
      </c>
      <c r="J189" s="30"/>
      <c r="K189" s="30"/>
      <c r="L189" s="30"/>
      <c r="M189" s="30"/>
    </row>
    <row r="190" spans="1:13" s="68" customFormat="1" ht="17.25" customHeight="1" x14ac:dyDescent="0.35">
      <c r="A190" s="116" t="s">
        <v>209</v>
      </c>
      <c r="B190" s="117" t="s">
        <v>210</v>
      </c>
      <c r="C190" s="117" t="s">
        <v>58</v>
      </c>
      <c r="D190" s="117"/>
      <c r="E190" s="117"/>
      <c r="F190" s="117"/>
      <c r="G190" s="117" t="s">
        <v>591</v>
      </c>
      <c r="H190" s="118"/>
      <c r="I190" s="65">
        <v>67348</v>
      </c>
      <c r="J190" s="30"/>
      <c r="K190" s="30"/>
      <c r="L190" s="30"/>
      <c r="M190" s="30"/>
    </row>
    <row r="191" spans="1:13" s="68" customFormat="1" ht="17.25" customHeight="1" x14ac:dyDescent="0.35">
      <c r="A191" s="116"/>
      <c r="B191" s="117"/>
      <c r="C191" s="117"/>
      <c r="D191" s="117" t="s">
        <v>36</v>
      </c>
      <c r="E191" s="117">
        <v>1</v>
      </c>
      <c r="F191" s="117">
        <v>25</v>
      </c>
      <c r="G191" s="117"/>
      <c r="H191" s="118"/>
      <c r="I191" s="65" t="s">
        <v>211</v>
      </c>
      <c r="J191" s="30"/>
      <c r="K191" s="30"/>
      <c r="L191" s="30"/>
      <c r="M191" s="30"/>
    </row>
    <row r="192" spans="1:13" s="68" customFormat="1" ht="17.25" customHeight="1" x14ac:dyDescent="0.35">
      <c r="A192" s="116"/>
      <c r="B192" s="117"/>
      <c r="C192" s="117"/>
      <c r="D192" s="117" t="s">
        <v>36</v>
      </c>
      <c r="E192" s="117">
        <v>1</v>
      </c>
      <c r="F192" s="117">
        <v>1</v>
      </c>
      <c r="G192" s="117"/>
      <c r="H192" s="118"/>
      <c r="I192" s="65" t="s">
        <v>212</v>
      </c>
      <c r="J192" s="30"/>
      <c r="K192" s="30"/>
      <c r="L192" s="30"/>
      <c r="M192" s="30"/>
    </row>
    <row r="193" spans="1:13" s="68" customFormat="1" ht="17.25" customHeight="1" x14ac:dyDescent="0.35">
      <c r="A193" s="116"/>
      <c r="B193" s="117"/>
      <c r="C193" s="117"/>
      <c r="D193" s="117" t="s">
        <v>36</v>
      </c>
      <c r="E193" s="117">
        <v>4</v>
      </c>
      <c r="F193" s="117">
        <v>0</v>
      </c>
      <c r="G193" s="117"/>
      <c r="H193" s="118"/>
      <c r="I193" s="65" t="s">
        <v>213</v>
      </c>
      <c r="J193" s="30"/>
      <c r="K193" s="30"/>
      <c r="L193" s="30"/>
      <c r="M193" s="30"/>
    </row>
    <row r="194" spans="1:13" s="68" customFormat="1" ht="17.25" customHeight="1" x14ac:dyDescent="0.35">
      <c r="A194" s="116"/>
      <c r="B194" s="117"/>
      <c r="C194" s="117"/>
      <c r="D194" s="117" t="s">
        <v>36</v>
      </c>
      <c r="E194" s="117">
        <v>1</v>
      </c>
      <c r="F194" s="117">
        <v>0</v>
      </c>
      <c r="G194" s="117"/>
      <c r="H194" s="118"/>
      <c r="I194" s="65" t="s">
        <v>214</v>
      </c>
      <c r="J194" s="30"/>
      <c r="K194" s="30"/>
      <c r="L194" s="30"/>
      <c r="M194" s="30"/>
    </row>
    <row r="195" spans="1:13" s="68" customFormat="1" ht="17.25" customHeight="1" x14ac:dyDescent="0.35">
      <c r="A195" s="116"/>
      <c r="B195" s="117"/>
      <c r="C195" s="117"/>
      <c r="D195" s="117" t="s">
        <v>36</v>
      </c>
      <c r="E195" s="117">
        <v>1</v>
      </c>
      <c r="F195" s="117">
        <v>0</v>
      </c>
      <c r="G195" s="117"/>
      <c r="H195" s="118"/>
      <c r="I195" s="65" t="s">
        <v>215</v>
      </c>
      <c r="J195" s="30"/>
      <c r="K195" s="30"/>
      <c r="L195" s="30"/>
      <c r="M195" s="30"/>
    </row>
    <row r="196" spans="1:13" s="68" customFormat="1" ht="17.25" customHeight="1" x14ac:dyDescent="0.35">
      <c r="A196" s="116"/>
      <c r="B196" s="117"/>
      <c r="C196" s="117"/>
      <c r="D196" s="117" t="s">
        <v>36</v>
      </c>
      <c r="E196" s="117">
        <v>1</v>
      </c>
      <c r="F196" s="117">
        <v>0</v>
      </c>
      <c r="G196" s="117"/>
      <c r="H196" s="118"/>
      <c r="I196" s="65" t="s">
        <v>500</v>
      </c>
      <c r="J196" s="30"/>
      <c r="K196" s="30"/>
      <c r="L196" s="30"/>
      <c r="M196" s="30"/>
    </row>
    <row r="197" spans="1:13" s="68" customFormat="1" ht="17.25" customHeight="1" x14ac:dyDescent="0.35">
      <c r="A197" s="116"/>
      <c r="B197" s="117"/>
      <c r="C197" s="117"/>
      <c r="D197" s="117" t="s">
        <v>36</v>
      </c>
      <c r="E197" s="117">
        <v>1</v>
      </c>
      <c r="F197" s="117">
        <v>0</v>
      </c>
      <c r="G197" s="117"/>
      <c r="H197" s="118"/>
      <c r="I197" s="65" t="s">
        <v>216</v>
      </c>
      <c r="J197" s="30"/>
      <c r="K197" s="30"/>
      <c r="L197" s="30"/>
      <c r="M197" s="30"/>
    </row>
    <row r="198" spans="1:13" s="68" customFormat="1" ht="17.25" customHeight="1" x14ac:dyDescent="0.35">
      <c r="A198" s="116"/>
      <c r="B198" s="117"/>
      <c r="C198" s="117"/>
      <c r="D198" s="117" t="s">
        <v>37</v>
      </c>
      <c r="E198" s="117">
        <v>16</v>
      </c>
      <c r="F198" s="117"/>
      <c r="G198" s="117"/>
      <c r="H198" s="118"/>
      <c r="I198" s="65" t="s">
        <v>217</v>
      </c>
      <c r="J198" s="30"/>
      <c r="K198" s="30"/>
      <c r="L198" s="30"/>
      <c r="M198" s="30"/>
    </row>
    <row r="199" spans="1:13" s="68" customFormat="1" ht="17.25" customHeight="1" x14ac:dyDescent="0.35">
      <c r="A199" s="116"/>
      <c r="B199" s="117"/>
      <c r="C199" s="117"/>
      <c r="D199" s="117" t="s">
        <v>36</v>
      </c>
      <c r="E199" s="117">
        <v>1</v>
      </c>
      <c r="F199" s="117">
        <v>1</v>
      </c>
      <c r="G199" s="117"/>
      <c r="H199" s="118"/>
      <c r="I199" s="65" t="s">
        <v>218</v>
      </c>
      <c r="J199" s="30"/>
      <c r="K199" s="30"/>
      <c r="L199" s="30"/>
      <c r="M199" s="30"/>
    </row>
    <row r="200" spans="1:13" s="68" customFormat="1" ht="17.25" customHeight="1" x14ac:dyDescent="0.35">
      <c r="A200" s="116"/>
      <c r="B200" s="117"/>
      <c r="C200" s="117"/>
      <c r="D200" s="117" t="s">
        <v>36</v>
      </c>
      <c r="E200" s="117">
        <v>1</v>
      </c>
      <c r="F200" s="117">
        <v>0</v>
      </c>
      <c r="G200" s="117"/>
      <c r="H200" s="118"/>
      <c r="I200" s="65" t="s">
        <v>501</v>
      </c>
      <c r="J200" s="30"/>
      <c r="K200" s="30"/>
      <c r="L200" s="30"/>
      <c r="M200" s="30"/>
    </row>
    <row r="201" spans="1:13" s="68" customFormat="1" ht="17.25" customHeight="1" x14ac:dyDescent="0.35">
      <c r="A201" s="116"/>
      <c r="B201" s="117"/>
      <c r="C201" s="117"/>
      <c r="D201" s="117" t="s">
        <v>36</v>
      </c>
      <c r="E201" s="117">
        <v>1</v>
      </c>
      <c r="F201" s="117">
        <v>0</v>
      </c>
      <c r="G201" s="117"/>
      <c r="H201" s="118"/>
      <c r="I201" s="65" t="s">
        <v>502</v>
      </c>
      <c r="J201" s="30"/>
      <c r="K201" s="30"/>
      <c r="L201" s="30"/>
      <c r="M201" s="30"/>
    </row>
    <row r="202" spans="1:13" s="68" customFormat="1" ht="17.25" customHeight="1" x14ac:dyDescent="0.35">
      <c r="A202" s="116"/>
      <c r="B202" s="117"/>
      <c r="C202" s="117"/>
      <c r="D202" s="117" t="s">
        <v>36</v>
      </c>
      <c r="E202" s="117">
        <v>1</v>
      </c>
      <c r="F202" s="117">
        <v>0</v>
      </c>
      <c r="G202" s="117"/>
      <c r="H202" s="118"/>
      <c r="I202" s="65" t="s">
        <v>219</v>
      </c>
      <c r="J202" s="30"/>
      <c r="K202" s="30"/>
      <c r="L202" s="30"/>
      <c r="M202" s="30"/>
    </row>
    <row r="203" spans="1:13" s="68" customFormat="1" ht="17.25" customHeight="1" x14ac:dyDescent="0.35">
      <c r="A203" s="116"/>
      <c r="B203" s="117"/>
      <c r="C203" s="117"/>
      <c r="D203" s="117" t="s">
        <v>36</v>
      </c>
      <c r="E203" s="117">
        <v>1</v>
      </c>
      <c r="F203" s="117">
        <v>1</v>
      </c>
      <c r="G203" s="117"/>
      <c r="H203" s="118"/>
      <c r="I203" s="65" t="s">
        <v>220</v>
      </c>
      <c r="J203" s="30"/>
      <c r="K203" s="30"/>
      <c r="L203" s="30"/>
      <c r="M203" s="30"/>
    </row>
    <row r="204" spans="1:13" s="68" customFormat="1" ht="17.25" customHeight="1" x14ac:dyDescent="0.35">
      <c r="A204" s="116"/>
      <c r="B204" s="117"/>
      <c r="C204" s="117"/>
      <c r="D204" s="117" t="s">
        <v>36</v>
      </c>
      <c r="E204" s="117">
        <v>1</v>
      </c>
      <c r="F204" s="117">
        <v>0</v>
      </c>
      <c r="G204" s="117"/>
      <c r="H204" s="118"/>
      <c r="I204" s="65" t="s">
        <v>503</v>
      </c>
      <c r="J204" s="30"/>
      <c r="K204" s="30"/>
      <c r="L204" s="30"/>
      <c r="M204" s="30"/>
    </row>
    <row r="205" spans="1:13" s="68" customFormat="1" ht="17.25" customHeight="1" x14ac:dyDescent="0.35">
      <c r="A205" s="116"/>
      <c r="B205" s="117"/>
      <c r="C205" s="117"/>
      <c r="D205" s="117" t="s">
        <v>36</v>
      </c>
      <c r="E205" s="117">
        <v>1</v>
      </c>
      <c r="F205" s="117">
        <v>1</v>
      </c>
      <c r="G205" s="117"/>
      <c r="H205" s="118"/>
      <c r="I205" s="65" t="s">
        <v>504</v>
      </c>
      <c r="J205" s="30"/>
      <c r="K205" s="30"/>
      <c r="L205" s="30"/>
      <c r="M205" s="30"/>
    </row>
    <row r="206" spans="1:13" s="68" customFormat="1" ht="17.25" customHeight="1" x14ac:dyDescent="0.35">
      <c r="A206" s="116"/>
      <c r="B206" s="117"/>
      <c r="C206" s="117"/>
      <c r="D206" s="117" t="s">
        <v>36</v>
      </c>
      <c r="E206" s="117">
        <v>1</v>
      </c>
      <c r="F206" s="117">
        <v>0</v>
      </c>
      <c r="G206" s="117"/>
      <c r="H206" s="118"/>
      <c r="I206" s="65" t="s">
        <v>322</v>
      </c>
      <c r="J206" s="30"/>
      <c r="K206" s="30"/>
      <c r="L206" s="30"/>
      <c r="M206" s="30"/>
    </row>
    <row r="207" spans="1:13" s="68" customFormat="1" ht="17.25" customHeight="1" x14ac:dyDescent="0.35">
      <c r="A207" s="116"/>
      <c r="B207" s="117"/>
      <c r="C207" s="117"/>
      <c r="D207" s="117" t="s">
        <v>36</v>
      </c>
      <c r="E207" s="117">
        <v>1</v>
      </c>
      <c r="F207" s="117">
        <v>1</v>
      </c>
      <c r="G207" s="117"/>
      <c r="H207" s="118"/>
      <c r="I207" s="65" t="s">
        <v>323</v>
      </c>
      <c r="J207" s="30"/>
      <c r="K207" s="30"/>
      <c r="L207" s="30"/>
      <c r="M207" s="30"/>
    </row>
    <row r="208" spans="1:13" s="68" customFormat="1" ht="17.25" customHeight="1" x14ac:dyDescent="0.35">
      <c r="A208" s="116"/>
      <c r="B208" s="117"/>
      <c r="C208" s="117"/>
      <c r="D208" s="117" t="s">
        <v>37</v>
      </c>
      <c r="E208" s="117">
        <v>128</v>
      </c>
      <c r="F208" s="117"/>
      <c r="G208" s="117"/>
      <c r="H208" s="118"/>
      <c r="I208" s="65" t="s">
        <v>505</v>
      </c>
      <c r="J208" s="30"/>
      <c r="K208" s="30"/>
      <c r="L208" s="30"/>
      <c r="M208" s="30"/>
    </row>
    <row r="209" spans="1:13" s="68" customFormat="1" ht="17.25" customHeight="1" x14ac:dyDescent="0.35">
      <c r="A209" s="116"/>
      <c r="B209" s="117"/>
      <c r="C209" s="117"/>
      <c r="D209" s="117" t="s">
        <v>37</v>
      </c>
      <c r="E209" s="117">
        <v>128</v>
      </c>
      <c r="F209" s="117"/>
      <c r="G209" s="117"/>
      <c r="H209" s="118"/>
      <c r="I209" s="65" t="s">
        <v>506</v>
      </c>
      <c r="J209" s="30"/>
      <c r="K209" s="30"/>
      <c r="L209" s="30"/>
      <c r="M209" s="30"/>
    </row>
    <row r="210" spans="1:13" s="68" customFormat="1" ht="17.25" customHeight="1" x14ac:dyDescent="0.35">
      <c r="A210" s="116"/>
      <c r="B210" s="117"/>
      <c r="C210" s="117"/>
      <c r="D210" s="117" t="s">
        <v>36</v>
      </c>
      <c r="E210" s="117">
        <v>1</v>
      </c>
      <c r="F210" s="117">
        <v>0</v>
      </c>
      <c r="G210" s="117"/>
      <c r="H210" s="118"/>
      <c r="I210" s="65" t="s">
        <v>324</v>
      </c>
      <c r="J210" s="30"/>
      <c r="K210" s="30"/>
      <c r="L210" s="30"/>
      <c r="M210" s="30"/>
    </row>
    <row r="211" spans="1:13" s="68" customFormat="1" ht="17.25" customHeight="1" x14ac:dyDescent="0.35">
      <c r="A211" s="116"/>
      <c r="B211" s="117"/>
      <c r="C211" s="117"/>
      <c r="D211" s="117" t="s">
        <v>36</v>
      </c>
      <c r="E211" s="117">
        <v>1</v>
      </c>
      <c r="F211" s="117">
        <v>0</v>
      </c>
      <c r="G211" s="117"/>
      <c r="H211" s="118"/>
      <c r="I211" s="65" t="s">
        <v>325</v>
      </c>
      <c r="J211" s="30"/>
      <c r="K211" s="30"/>
      <c r="L211" s="30"/>
      <c r="M211" s="30"/>
    </row>
    <row r="212" spans="1:13" s="68" customFormat="1" ht="17.25" customHeight="1" x14ac:dyDescent="0.35">
      <c r="A212" s="116"/>
      <c r="B212" s="117"/>
      <c r="C212" s="117"/>
      <c r="D212" s="117" t="s">
        <v>36</v>
      </c>
      <c r="E212" s="117">
        <v>1</v>
      </c>
      <c r="F212" s="117">
        <v>0</v>
      </c>
      <c r="G212" s="117"/>
      <c r="H212" s="118"/>
      <c r="I212" s="65" t="s">
        <v>326</v>
      </c>
      <c r="J212" s="30"/>
      <c r="K212" s="30"/>
      <c r="L212" s="30"/>
      <c r="M212" s="30"/>
    </row>
    <row r="213" spans="1:13" s="68" customFormat="1" ht="17.25" customHeight="1" x14ac:dyDescent="0.35">
      <c r="A213" s="116"/>
      <c r="B213" s="117"/>
      <c r="C213" s="117"/>
      <c r="D213" s="117" t="s">
        <v>36</v>
      </c>
      <c r="E213" s="117">
        <v>1</v>
      </c>
      <c r="F213" s="117">
        <v>0</v>
      </c>
      <c r="G213" s="117"/>
      <c r="H213" s="118"/>
      <c r="I213" s="65" t="s">
        <v>327</v>
      </c>
      <c r="J213" s="30"/>
      <c r="K213" s="30"/>
      <c r="L213" s="30"/>
      <c r="M213" s="30"/>
    </row>
    <row r="214" spans="1:13" s="68" customFormat="1" ht="17.25" customHeight="1" x14ac:dyDescent="0.35">
      <c r="A214" s="116"/>
      <c r="B214" s="117"/>
      <c r="C214" s="117"/>
      <c r="D214" s="117" t="s">
        <v>36</v>
      </c>
      <c r="E214" s="117">
        <v>1</v>
      </c>
      <c r="F214" s="117">
        <v>0</v>
      </c>
      <c r="G214" s="117"/>
      <c r="H214" s="118"/>
      <c r="I214" s="65" t="s">
        <v>328</v>
      </c>
      <c r="J214" s="30"/>
      <c r="K214" s="30"/>
      <c r="L214" s="30"/>
      <c r="M214" s="30"/>
    </row>
    <row r="215" spans="1:13" s="68" customFormat="1" ht="17.25" customHeight="1" x14ac:dyDescent="0.35">
      <c r="A215" s="116"/>
      <c r="B215" s="117"/>
      <c r="C215" s="117"/>
      <c r="D215" s="117" t="s">
        <v>36</v>
      </c>
      <c r="E215" s="117">
        <v>1</v>
      </c>
      <c r="F215" s="117">
        <v>0</v>
      </c>
      <c r="G215" s="117"/>
      <c r="H215" s="118"/>
      <c r="I215" s="65" t="s">
        <v>329</v>
      </c>
      <c r="J215" s="30"/>
      <c r="K215" s="30"/>
      <c r="L215" s="30"/>
      <c r="M215" s="30"/>
    </row>
    <row r="216" spans="1:13" s="68" customFormat="1" ht="17.25" customHeight="1" x14ac:dyDescent="0.35">
      <c r="A216" s="116"/>
      <c r="B216" s="117"/>
      <c r="C216" s="117"/>
      <c r="D216" s="117" t="s">
        <v>36</v>
      </c>
      <c r="E216" s="117">
        <v>4</v>
      </c>
      <c r="F216" s="117">
        <v>20000</v>
      </c>
      <c r="G216" s="117"/>
      <c r="H216" s="118"/>
      <c r="I216" s="65" t="s">
        <v>507</v>
      </c>
      <c r="J216" s="30"/>
      <c r="K216" s="30"/>
      <c r="L216" s="30"/>
      <c r="M216" s="30"/>
    </row>
    <row r="217" spans="1:13" s="68" customFormat="1" ht="17.25" customHeight="1" x14ac:dyDescent="0.35">
      <c r="A217" s="116"/>
      <c r="B217" s="117"/>
      <c r="C217" s="117"/>
      <c r="D217" s="117" t="s">
        <v>36</v>
      </c>
      <c r="E217" s="117">
        <v>4</v>
      </c>
      <c r="F217" s="117">
        <v>0</v>
      </c>
      <c r="G217" s="117"/>
      <c r="H217" s="118"/>
      <c r="I217" s="65" t="s">
        <v>344</v>
      </c>
      <c r="J217" s="30"/>
      <c r="K217" s="30"/>
      <c r="L217" s="30"/>
      <c r="M217" s="30"/>
    </row>
    <row r="218" spans="1:13" s="68" customFormat="1" ht="17.25" customHeight="1" x14ac:dyDescent="0.35">
      <c r="A218" s="116"/>
      <c r="B218" s="117"/>
      <c r="C218" s="117"/>
      <c r="D218" s="117" t="s">
        <v>36</v>
      </c>
      <c r="E218" s="117">
        <v>1</v>
      </c>
      <c r="F218" s="117">
        <v>1</v>
      </c>
      <c r="G218" s="117"/>
      <c r="H218" s="118"/>
      <c r="I218" s="65" t="s">
        <v>508</v>
      </c>
      <c r="J218" s="30"/>
      <c r="K218" s="30"/>
      <c r="L218" s="30"/>
      <c r="M218" s="30"/>
    </row>
    <row r="219" spans="1:13" s="68" customFormat="1" ht="17.25" customHeight="1" x14ac:dyDescent="0.35">
      <c r="A219" s="116"/>
      <c r="B219" s="117"/>
      <c r="C219" s="117"/>
      <c r="D219" s="117" t="s">
        <v>36</v>
      </c>
      <c r="E219" s="117">
        <v>1</v>
      </c>
      <c r="F219" s="117"/>
      <c r="G219" s="117"/>
      <c r="H219" s="118"/>
      <c r="I219" s="65" t="s">
        <v>509</v>
      </c>
      <c r="J219" s="30"/>
      <c r="K219" s="30"/>
      <c r="L219" s="30"/>
      <c r="M219" s="30"/>
    </row>
    <row r="220" spans="1:13" s="68" customFormat="1" ht="17.25" customHeight="1" x14ac:dyDescent="0.35">
      <c r="A220" s="116"/>
      <c r="B220" s="117"/>
      <c r="C220" s="117"/>
      <c r="D220" s="117" t="s">
        <v>37</v>
      </c>
      <c r="E220" s="117">
        <v>128</v>
      </c>
      <c r="F220" s="117"/>
      <c r="G220" s="117"/>
      <c r="H220" s="118"/>
      <c r="I220" s="65" t="s">
        <v>510</v>
      </c>
      <c r="J220" s="30"/>
      <c r="K220" s="30"/>
      <c r="L220" s="30"/>
      <c r="M220" s="30"/>
    </row>
    <row r="221" spans="1:13" s="68" customFormat="1" ht="17.25" customHeight="1" x14ac:dyDescent="0.35">
      <c r="A221" s="116"/>
      <c r="B221" s="117"/>
      <c r="C221" s="117"/>
      <c r="D221" s="117" t="s">
        <v>36</v>
      </c>
      <c r="E221" s="117">
        <v>1</v>
      </c>
      <c r="F221" s="117"/>
      <c r="G221" s="117"/>
      <c r="H221" s="118"/>
      <c r="I221" s="65" t="s">
        <v>511</v>
      </c>
      <c r="J221" s="30"/>
      <c r="K221" s="30"/>
      <c r="L221" s="30"/>
      <c r="M221" s="30"/>
    </row>
    <row r="222" spans="1:13" s="68" customFormat="1" ht="17.25" customHeight="1" x14ac:dyDescent="0.35">
      <c r="A222" s="116"/>
      <c r="B222" s="117"/>
      <c r="C222" s="117"/>
      <c r="D222" s="117" t="s">
        <v>36</v>
      </c>
      <c r="E222" s="117">
        <v>1</v>
      </c>
      <c r="F222" s="117"/>
      <c r="G222" s="117"/>
      <c r="H222" s="118"/>
      <c r="I222" s="65" t="s">
        <v>512</v>
      </c>
      <c r="J222" s="30"/>
      <c r="K222" s="30"/>
      <c r="L222" s="30"/>
      <c r="M222" s="30"/>
    </row>
    <row r="223" spans="1:13" s="68" customFormat="1" ht="17.25" customHeight="1" x14ac:dyDescent="0.35">
      <c r="A223" s="116"/>
      <c r="B223" s="117"/>
      <c r="C223" s="117"/>
      <c r="D223" s="117" t="s">
        <v>36</v>
      </c>
      <c r="E223" s="117">
        <v>1</v>
      </c>
      <c r="F223" s="117"/>
      <c r="G223" s="117"/>
      <c r="H223" s="118"/>
      <c r="I223" s="65" t="s">
        <v>513</v>
      </c>
      <c r="J223" s="30"/>
      <c r="K223" s="30"/>
      <c r="L223" s="30"/>
      <c r="M223" s="30"/>
    </row>
    <row r="224" spans="1:13" s="68" customFormat="1" ht="17.25" customHeight="1" x14ac:dyDescent="0.2">
      <c r="A224" s="116"/>
      <c r="B224" s="117"/>
      <c r="C224" s="117"/>
      <c r="D224" s="117" t="s">
        <v>36</v>
      </c>
      <c r="E224" s="117">
        <v>2</v>
      </c>
      <c r="F224" s="117"/>
      <c r="G224" s="117"/>
      <c r="H224" s="118"/>
      <c r="I224" s="99" t="s">
        <v>514</v>
      </c>
      <c r="J224" s="30"/>
      <c r="K224" s="30"/>
      <c r="L224" s="30"/>
      <c r="M224" s="30"/>
    </row>
    <row r="225" spans="1:13" s="68" customFormat="1" ht="17.25" customHeight="1" x14ac:dyDescent="0.2">
      <c r="A225" s="116"/>
      <c r="B225" s="117"/>
      <c r="C225" s="117"/>
      <c r="D225" s="117" t="s">
        <v>36</v>
      </c>
      <c r="E225" s="117">
        <v>2</v>
      </c>
      <c r="F225" s="117"/>
      <c r="G225" s="117"/>
      <c r="H225" s="118"/>
      <c r="I225" s="99" t="s">
        <v>515</v>
      </c>
      <c r="J225" s="30"/>
      <c r="K225" s="30"/>
      <c r="L225" s="30"/>
      <c r="M225" s="30"/>
    </row>
    <row r="226" spans="1:13" s="68" customFormat="1" ht="17.25" customHeight="1" x14ac:dyDescent="0.2">
      <c r="A226" s="116"/>
      <c r="B226" s="117"/>
      <c r="C226" s="117"/>
      <c r="D226" s="117" t="s">
        <v>36</v>
      </c>
      <c r="E226" s="117">
        <v>2</v>
      </c>
      <c r="F226" s="117"/>
      <c r="G226" s="117"/>
      <c r="H226" s="118"/>
      <c r="I226" s="99" t="s">
        <v>516</v>
      </c>
      <c r="J226" s="30"/>
      <c r="K226" s="30"/>
      <c r="L226" s="30"/>
      <c r="M226" s="30"/>
    </row>
    <row r="227" spans="1:13" s="68" customFormat="1" ht="17.25" customHeight="1" x14ac:dyDescent="0.2">
      <c r="A227" s="116"/>
      <c r="B227" s="117"/>
      <c r="C227" s="117"/>
      <c r="D227" s="117" t="s">
        <v>36</v>
      </c>
      <c r="E227" s="117">
        <v>2</v>
      </c>
      <c r="F227" s="117"/>
      <c r="G227" s="117"/>
      <c r="H227" s="118"/>
      <c r="I227" s="99" t="s">
        <v>517</v>
      </c>
      <c r="J227" s="30"/>
      <c r="K227" s="30"/>
      <c r="L227" s="30"/>
      <c r="M227" s="30"/>
    </row>
    <row r="228" spans="1:13" s="68" customFormat="1" ht="17.25" customHeight="1" x14ac:dyDescent="0.2">
      <c r="A228" s="116"/>
      <c r="B228" s="117"/>
      <c r="C228" s="117"/>
      <c r="D228" s="117" t="s">
        <v>36</v>
      </c>
      <c r="E228" s="117">
        <v>2</v>
      </c>
      <c r="F228" s="117"/>
      <c r="G228" s="117"/>
      <c r="H228" s="118"/>
      <c r="I228" s="99" t="s">
        <v>518</v>
      </c>
      <c r="J228" s="30"/>
      <c r="K228" s="30"/>
      <c r="L228" s="30"/>
      <c r="M228" s="30"/>
    </row>
    <row r="229" spans="1:13" s="68" customFormat="1" ht="17.25" customHeight="1" x14ac:dyDescent="0.2">
      <c r="A229" s="116"/>
      <c r="B229" s="117"/>
      <c r="C229" s="117"/>
      <c r="D229" s="117" t="s">
        <v>36</v>
      </c>
      <c r="E229" s="117">
        <v>2</v>
      </c>
      <c r="F229" s="117"/>
      <c r="G229" s="117"/>
      <c r="H229" s="118"/>
      <c r="I229" s="99" t="s">
        <v>519</v>
      </c>
      <c r="J229" s="30"/>
      <c r="K229" s="30"/>
      <c r="L229" s="30"/>
      <c r="M229" s="30"/>
    </row>
    <row r="230" spans="1:13" s="68" customFormat="1" ht="17.25" customHeight="1" x14ac:dyDescent="0.2">
      <c r="A230" s="116"/>
      <c r="B230" s="117"/>
      <c r="C230" s="117"/>
      <c r="D230" s="117" t="s">
        <v>36</v>
      </c>
      <c r="E230" s="117">
        <v>2</v>
      </c>
      <c r="F230" s="117"/>
      <c r="G230" s="117"/>
      <c r="H230" s="118"/>
      <c r="I230" s="99" t="s">
        <v>520</v>
      </c>
      <c r="J230" s="30"/>
      <c r="K230" s="30"/>
      <c r="L230" s="30"/>
      <c r="M230" s="30"/>
    </row>
    <row r="231" spans="1:13" s="68" customFormat="1" ht="17.25" customHeight="1" x14ac:dyDescent="0.2">
      <c r="A231" s="116"/>
      <c r="B231" s="117"/>
      <c r="C231" s="117"/>
      <c r="D231" s="117" t="s">
        <v>36</v>
      </c>
      <c r="E231" s="117">
        <v>2</v>
      </c>
      <c r="F231" s="117"/>
      <c r="G231" s="117"/>
      <c r="H231" s="118"/>
      <c r="I231" s="99" t="s">
        <v>521</v>
      </c>
      <c r="J231" s="30"/>
      <c r="K231" s="30"/>
      <c r="L231" s="30"/>
      <c r="M231" s="30"/>
    </row>
    <row r="232" spans="1:13" s="68" customFormat="1" ht="17.25" customHeight="1" x14ac:dyDescent="0.2">
      <c r="A232" s="116"/>
      <c r="B232" s="117"/>
      <c r="C232" s="117"/>
      <c r="D232" s="117" t="s">
        <v>36</v>
      </c>
      <c r="E232" s="117">
        <v>2</v>
      </c>
      <c r="F232" s="117"/>
      <c r="G232" s="117"/>
      <c r="H232" s="118"/>
      <c r="I232" s="99" t="s">
        <v>522</v>
      </c>
      <c r="J232" s="30"/>
      <c r="K232" s="30"/>
      <c r="L232" s="30"/>
      <c r="M232" s="30"/>
    </row>
    <row r="233" spans="1:13" s="68" customFormat="1" ht="17.25" customHeight="1" x14ac:dyDescent="0.2">
      <c r="A233" s="116"/>
      <c r="B233" s="117"/>
      <c r="C233" s="117"/>
      <c r="D233" s="117" t="s">
        <v>36</v>
      </c>
      <c r="E233" s="117">
        <v>1</v>
      </c>
      <c r="F233" s="117"/>
      <c r="G233" s="117"/>
      <c r="H233" s="118"/>
      <c r="I233" s="99" t="s">
        <v>523</v>
      </c>
      <c r="J233" s="30"/>
      <c r="K233" s="30"/>
      <c r="L233" s="30"/>
      <c r="M233" s="30"/>
    </row>
    <row r="234" spans="1:13" s="68" customFormat="1" ht="17.25" customHeight="1" x14ac:dyDescent="0.2">
      <c r="A234" s="116"/>
      <c r="B234" s="117"/>
      <c r="C234" s="117"/>
      <c r="D234" s="117" t="s">
        <v>36</v>
      </c>
      <c r="E234" s="117">
        <v>1</v>
      </c>
      <c r="F234" s="117"/>
      <c r="G234" s="117"/>
      <c r="H234" s="118"/>
      <c r="I234" s="99" t="s">
        <v>524</v>
      </c>
      <c r="J234" s="30"/>
      <c r="K234" s="30"/>
      <c r="L234" s="30"/>
      <c r="M234" s="30"/>
    </row>
    <row r="235" spans="1:13" s="68" customFormat="1" ht="17.25" customHeight="1" x14ac:dyDescent="0.2">
      <c r="A235" s="116"/>
      <c r="B235" s="117"/>
      <c r="C235" s="117"/>
      <c r="D235" s="117" t="s">
        <v>36</v>
      </c>
      <c r="E235" s="117">
        <v>2</v>
      </c>
      <c r="F235" s="117"/>
      <c r="G235" s="117"/>
      <c r="H235" s="118"/>
      <c r="I235" s="99" t="s">
        <v>525</v>
      </c>
      <c r="J235" s="30"/>
      <c r="K235" s="30"/>
      <c r="L235" s="30"/>
      <c r="M235" s="30"/>
    </row>
    <row r="236" spans="1:13" s="68" customFormat="1" ht="17.25" customHeight="1" x14ac:dyDescent="0.2">
      <c r="A236" s="116"/>
      <c r="B236" s="117"/>
      <c r="C236" s="117"/>
      <c r="D236" s="117" t="s">
        <v>36</v>
      </c>
      <c r="E236" s="117">
        <v>2</v>
      </c>
      <c r="F236" s="117"/>
      <c r="G236" s="117"/>
      <c r="H236" s="118"/>
      <c r="I236" s="99" t="s">
        <v>526</v>
      </c>
      <c r="J236" s="30"/>
      <c r="K236" s="30"/>
      <c r="L236" s="30"/>
      <c r="M236" s="30"/>
    </row>
    <row r="237" spans="1:13" s="68" customFormat="1" ht="17.25" customHeight="1" x14ac:dyDescent="0.2">
      <c r="A237" s="116"/>
      <c r="B237" s="117"/>
      <c r="C237" s="117"/>
      <c r="D237" s="117" t="s">
        <v>36</v>
      </c>
      <c r="E237" s="117">
        <v>2</v>
      </c>
      <c r="F237" s="117"/>
      <c r="G237" s="117"/>
      <c r="H237" s="118"/>
      <c r="I237" s="99" t="s">
        <v>527</v>
      </c>
      <c r="J237" s="30"/>
      <c r="K237" s="30"/>
      <c r="L237" s="30"/>
      <c r="M237" s="30"/>
    </row>
    <row r="238" spans="1:13" s="68" customFormat="1" ht="17.25" customHeight="1" x14ac:dyDescent="0.2">
      <c r="A238" s="116"/>
      <c r="B238" s="117"/>
      <c r="C238" s="117"/>
      <c r="D238" s="117" t="s">
        <v>36</v>
      </c>
      <c r="E238" s="117">
        <v>2</v>
      </c>
      <c r="F238" s="117"/>
      <c r="G238" s="117"/>
      <c r="H238" s="118"/>
      <c r="I238" s="99" t="s">
        <v>528</v>
      </c>
      <c r="J238" s="30"/>
      <c r="K238" s="30"/>
      <c r="L238" s="30"/>
      <c r="M238" s="30"/>
    </row>
    <row r="239" spans="1:13" s="68" customFormat="1" ht="17.25" customHeight="1" x14ac:dyDescent="0.2">
      <c r="A239" s="116"/>
      <c r="B239" s="117"/>
      <c r="C239" s="117"/>
      <c r="D239" s="117" t="s">
        <v>36</v>
      </c>
      <c r="E239" s="117">
        <v>1</v>
      </c>
      <c r="F239" s="117"/>
      <c r="G239" s="117"/>
      <c r="H239" s="118"/>
      <c r="I239" s="99" t="s">
        <v>529</v>
      </c>
      <c r="J239" s="30"/>
      <c r="K239" s="30"/>
      <c r="L239" s="30"/>
      <c r="M239" s="30"/>
    </row>
    <row r="240" spans="1:13" s="68" customFormat="1" ht="17.25" customHeight="1" x14ac:dyDescent="0.2">
      <c r="A240" s="116"/>
      <c r="B240" s="117"/>
      <c r="C240" s="117"/>
      <c r="D240" s="117" t="s">
        <v>36</v>
      </c>
      <c r="E240" s="117">
        <v>2</v>
      </c>
      <c r="F240" s="117"/>
      <c r="G240" s="117"/>
      <c r="H240" s="118"/>
      <c r="I240" s="99" t="s">
        <v>530</v>
      </c>
      <c r="J240" s="30"/>
      <c r="K240" s="30"/>
      <c r="L240" s="30"/>
      <c r="M240" s="30"/>
    </row>
    <row r="241" spans="1:13" s="68" customFormat="1" ht="17.25" customHeight="1" x14ac:dyDescent="0.2">
      <c r="A241" s="116"/>
      <c r="B241" s="117"/>
      <c r="C241" s="117"/>
      <c r="D241" s="117" t="s">
        <v>36</v>
      </c>
      <c r="E241" s="117">
        <v>2</v>
      </c>
      <c r="F241" s="117"/>
      <c r="G241" s="117"/>
      <c r="H241" s="118"/>
      <c r="I241" s="99" t="s">
        <v>531</v>
      </c>
      <c r="J241" s="30"/>
      <c r="K241" s="30"/>
      <c r="L241" s="30"/>
      <c r="M241" s="30"/>
    </row>
    <row r="242" spans="1:13" s="68" customFormat="1" ht="17.25" customHeight="1" x14ac:dyDescent="0.2">
      <c r="A242" s="116"/>
      <c r="B242" s="117"/>
      <c r="C242" s="117"/>
      <c r="D242" s="117" t="s">
        <v>36</v>
      </c>
      <c r="E242" s="117">
        <v>2</v>
      </c>
      <c r="F242" s="117"/>
      <c r="G242" s="117"/>
      <c r="H242" s="118"/>
      <c r="I242" s="99" t="s">
        <v>532</v>
      </c>
      <c r="J242" s="30"/>
      <c r="K242" s="30"/>
      <c r="L242" s="30"/>
      <c r="M242" s="30"/>
    </row>
    <row r="243" spans="1:13" s="68" customFormat="1" ht="17.25" customHeight="1" x14ac:dyDescent="0.2">
      <c r="A243" s="116"/>
      <c r="B243" s="117"/>
      <c r="C243" s="117"/>
      <c r="D243" s="117" t="s">
        <v>36</v>
      </c>
      <c r="E243" s="117">
        <v>2</v>
      </c>
      <c r="F243" s="117"/>
      <c r="G243" s="117"/>
      <c r="H243" s="118"/>
      <c r="I243" s="99" t="s">
        <v>533</v>
      </c>
      <c r="J243" s="30"/>
      <c r="K243" s="30"/>
      <c r="L243" s="30"/>
      <c r="M243" s="30"/>
    </row>
    <row r="244" spans="1:13" s="68" customFormat="1" ht="17.25" customHeight="1" x14ac:dyDescent="0.2">
      <c r="A244" s="116"/>
      <c r="B244" s="117"/>
      <c r="C244" s="117"/>
      <c r="D244" s="117" t="s">
        <v>36</v>
      </c>
      <c r="E244" s="117">
        <v>1</v>
      </c>
      <c r="F244" s="117"/>
      <c r="G244" s="117"/>
      <c r="H244" s="118"/>
      <c r="I244" s="99" t="s">
        <v>534</v>
      </c>
      <c r="J244" s="30"/>
      <c r="K244" s="30"/>
      <c r="L244" s="30"/>
      <c r="M244" s="30"/>
    </row>
    <row r="245" spans="1:13" s="68" customFormat="1" ht="17.25" customHeight="1" x14ac:dyDescent="0.2">
      <c r="A245" s="116"/>
      <c r="B245" s="117"/>
      <c r="C245" s="117"/>
      <c r="D245" s="117" t="s">
        <v>36</v>
      </c>
      <c r="E245" s="117">
        <v>1</v>
      </c>
      <c r="F245" s="117">
        <v>7</v>
      </c>
      <c r="G245" s="117"/>
      <c r="H245" s="118"/>
      <c r="I245" s="99" t="s">
        <v>627</v>
      </c>
      <c r="J245" s="30"/>
      <c r="K245" s="30"/>
      <c r="L245" s="30"/>
      <c r="M245" s="30"/>
    </row>
    <row r="246" spans="1:13" s="68" customFormat="1" ht="17.25" customHeight="1" x14ac:dyDescent="0.35">
      <c r="A246" s="116"/>
      <c r="B246" s="117"/>
      <c r="C246" s="117"/>
      <c r="D246" s="117" t="s">
        <v>37</v>
      </c>
      <c r="E246" s="117">
        <v>35</v>
      </c>
      <c r="F246" s="117"/>
      <c r="G246" s="117"/>
      <c r="H246" s="118"/>
      <c r="I246" s="65" t="s">
        <v>222</v>
      </c>
      <c r="J246" s="30"/>
      <c r="K246" s="30"/>
      <c r="L246" s="30"/>
      <c r="M246" s="30"/>
    </row>
    <row r="247" spans="1:13" s="68" customFormat="1" ht="17.25" customHeight="1" x14ac:dyDescent="0.35">
      <c r="A247" s="116" t="s">
        <v>567</v>
      </c>
      <c r="B247" s="117" t="s">
        <v>568</v>
      </c>
      <c r="C247" s="117" t="s">
        <v>58</v>
      </c>
      <c r="D247" s="117"/>
      <c r="E247" s="117"/>
      <c r="F247" s="117"/>
      <c r="G247" s="117" t="s">
        <v>591</v>
      </c>
      <c r="H247" s="118"/>
      <c r="I247" s="65">
        <v>67332</v>
      </c>
      <c r="J247" s="30"/>
      <c r="K247" s="30"/>
      <c r="L247" s="30"/>
      <c r="M247" s="30"/>
    </row>
    <row r="248" spans="1:13" s="68" customFormat="1" ht="17.25" customHeight="1" x14ac:dyDescent="0.35">
      <c r="A248" s="116"/>
      <c r="B248" s="117"/>
      <c r="C248" s="117"/>
      <c r="D248" s="117" t="s">
        <v>36</v>
      </c>
      <c r="E248" s="117">
        <v>1</v>
      </c>
      <c r="F248" s="117">
        <v>6</v>
      </c>
      <c r="G248" s="117"/>
      <c r="H248" s="118"/>
      <c r="I248" s="65" t="s">
        <v>173</v>
      </c>
      <c r="J248" s="30"/>
      <c r="K248" s="30"/>
      <c r="L248" s="30"/>
      <c r="M248" s="30"/>
    </row>
    <row r="249" spans="1:13" s="68" customFormat="1" ht="17.25" customHeight="1" x14ac:dyDescent="0.35">
      <c r="A249" s="116"/>
      <c r="B249" s="117"/>
      <c r="C249" s="117"/>
      <c r="D249" s="117" t="s">
        <v>36</v>
      </c>
      <c r="E249" s="117">
        <v>2</v>
      </c>
      <c r="F249" s="117">
        <v>1400</v>
      </c>
      <c r="G249" s="117"/>
      <c r="H249" s="118"/>
      <c r="I249" s="65" t="s">
        <v>628</v>
      </c>
      <c r="J249" s="30"/>
      <c r="K249" s="30"/>
      <c r="L249" s="30"/>
      <c r="M249" s="30"/>
    </row>
    <row r="250" spans="1:13" s="68" customFormat="1" ht="17.25" customHeight="1" x14ac:dyDescent="0.35">
      <c r="A250" s="116"/>
      <c r="B250" s="117"/>
      <c r="C250" s="117"/>
      <c r="D250" s="117" t="s">
        <v>36</v>
      </c>
      <c r="E250" s="117">
        <v>1</v>
      </c>
      <c r="F250" s="117"/>
      <c r="G250" s="117"/>
      <c r="H250" s="118"/>
      <c r="I250" s="65" t="s">
        <v>629</v>
      </c>
      <c r="J250" s="30"/>
      <c r="K250" s="30"/>
      <c r="L250" s="30"/>
      <c r="M250" s="30"/>
    </row>
    <row r="251" spans="1:13" s="68" customFormat="1" ht="17.25" customHeight="1" x14ac:dyDescent="0.35">
      <c r="A251" s="116"/>
      <c r="B251" s="117"/>
      <c r="C251" s="117"/>
      <c r="D251" s="117" t="s">
        <v>36</v>
      </c>
      <c r="E251" s="117">
        <v>2</v>
      </c>
      <c r="F251" s="117"/>
      <c r="G251" s="117"/>
      <c r="H251" s="118"/>
      <c r="I251" s="65" t="s">
        <v>630</v>
      </c>
      <c r="J251" s="30"/>
      <c r="K251" s="30"/>
      <c r="L251" s="30"/>
      <c r="M251" s="30"/>
    </row>
    <row r="252" spans="1:13" s="68" customFormat="1" ht="17.25" customHeight="1" x14ac:dyDescent="0.35">
      <c r="A252" s="116"/>
      <c r="B252" s="117"/>
      <c r="C252" s="117"/>
      <c r="D252" s="117" t="s">
        <v>36</v>
      </c>
      <c r="E252" s="117">
        <v>1</v>
      </c>
      <c r="F252" s="117"/>
      <c r="G252" s="117"/>
      <c r="H252" s="118"/>
      <c r="I252" s="65" t="s">
        <v>631</v>
      </c>
      <c r="J252" s="30"/>
      <c r="K252" s="30"/>
      <c r="L252" s="30"/>
      <c r="M252" s="30"/>
    </row>
    <row r="253" spans="1:13" s="68" customFormat="1" ht="17.25" customHeight="1" x14ac:dyDescent="0.35">
      <c r="A253" s="116"/>
      <c r="B253" s="117"/>
      <c r="C253" s="117"/>
      <c r="D253" s="117" t="s">
        <v>36</v>
      </c>
      <c r="E253" s="117">
        <v>1</v>
      </c>
      <c r="F253" s="117"/>
      <c r="G253" s="117"/>
      <c r="H253" s="118"/>
      <c r="I253" s="65" t="s">
        <v>632</v>
      </c>
      <c r="J253" s="30"/>
      <c r="K253" s="30"/>
      <c r="L253" s="30"/>
      <c r="M253" s="30"/>
    </row>
    <row r="254" spans="1:13" s="68" customFormat="1" ht="17.25" customHeight="1" x14ac:dyDescent="0.35">
      <c r="A254" s="116"/>
      <c r="B254" s="117"/>
      <c r="C254" s="117"/>
      <c r="D254" s="117" t="s">
        <v>36</v>
      </c>
      <c r="E254" s="117">
        <v>1</v>
      </c>
      <c r="F254" s="117"/>
      <c r="G254" s="117"/>
      <c r="H254" s="118"/>
      <c r="I254" s="65" t="s">
        <v>633</v>
      </c>
      <c r="J254" s="30"/>
      <c r="K254" s="30"/>
      <c r="L254" s="30"/>
      <c r="M254" s="30"/>
    </row>
    <row r="255" spans="1:13" s="68" customFormat="1" ht="17.25" customHeight="1" x14ac:dyDescent="0.35">
      <c r="A255" s="116"/>
      <c r="B255" s="117"/>
      <c r="C255" s="117"/>
      <c r="D255" s="117" t="s">
        <v>36</v>
      </c>
      <c r="E255" s="117">
        <v>1</v>
      </c>
      <c r="F255" s="117"/>
      <c r="G255" s="117"/>
      <c r="H255" s="118"/>
      <c r="I255" s="65" t="s">
        <v>634</v>
      </c>
      <c r="J255" s="30"/>
      <c r="K255" s="30"/>
      <c r="L255" s="30"/>
      <c r="M255" s="30"/>
    </row>
    <row r="256" spans="1:13" s="68" customFormat="1" ht="17.25" customHeight="1" x14ac:dyDescent="0.35">
      <c r="A256" s="116"/>
      <c r="B256" s="117"/>
      <c r="C256" s="117"/>
      <c r="D256" s="117" t="s">
        <v>36</v>
      </c>
      <c r="E256" s="117">
        <v>1</v>
      </c>
      <c r="F256" s="117"/>
      <c r="G256" s="117"/>
      <c r="H256" s="118"/>
      <c r="I256" s="65" t="s">
        <v>635</v>
      </c>
      <c r="J256" s="30"/>
      <c r="K256" s="30"/>
      <c r="L256" s="30"/>
      <c r="M256" s="30"/>
    </row>
    <row r="257" spans="1:13" s="68" customFormat="1" ht="17.25" customHeight="1" x14ac:dyDescent="0.35">
      <c r="A257" s="116"/>
      <c r="B257" s="117"/>
      <c r="C257" s="117"/>
      <c r="D257" s="117" t="s">
        <v>36</v>
      </c>
      <c r="E257" s="117">
        <v>1</v>
      </c>
      <c r="F257" s="117"/>
      <c r="G257" s="117"/>
      <c r="H257" s="118"/>
      <c r="I257" s="65" t="s">
        <v>636</v>
      </c>
      <c r="J257" s="30"/>
      <c r="K257" s="30"/>
      <c r="L257" s="30"/>
      <c r="M257" s="30"/>
    </row>
    <row r="258" spans="1:13" s="68" customFormat="1" ht="17.25" customHeight="1" x14ac:dyDescent="0.35">
      <c r="A258" s="116"/>
      <c r="B258" s="117"/>
      <c r="C258" s="117"/>
      <c r="D258" s="117" t="s">
        <v>36</v>
      </c>
      <c r="E258" s="117">
        <v>2</v>
      </c>
      <c r="F258" s="117"/>
      <c r="G258" s="117"/>
      <c r="H258" s="118"/>
      <c r="I258" s="65" t="s">
        <v>637</v>
      </c>
      <c r="J258" s="30"/>
      <c r="K258" s="30"/>
      <c r="L258" s="30"/>
      <c r="M258" s="30"/>
    </row>
    <row r="259" spans="1:13" s="68" customFormat="1" ht="17.25" customHeight="1" x14ac:dyDescent="0.35">
      <c r="A259" s="116"/>
      <c r="B259" s="117"/>
      <c r="C259" s="117"/>
      <c r="D259" s="117" t="s">
        <v>36</v>
      </c>
      <c r="E259" s="117">
        <v>2</v>
      </c>
      <c r="F259" s="117"/>
      <c r="G259" s="117"/>
      <c r="H259" s="118"/>
      <c r="I259" s="65" t="s">
        <v>638</v>
      </c>
      <c r="J259" s="30"/>
      <c r="K259" s="30"/>
      <c r="L259" s="30"/>
      <c r="M259" s="30"/>
    </row>
    <row r="260" spans="1:13" s="68" customFormat="1" ht="17.25" customHeight="1" x14ac:dyDescent="0.35">
      <c r="A260" s="116"/>
      <c r="B260" s="117"/>
      <c r="C260" s="117"/>
      <c r="D260" s="117" t="s">
        <v>36</v>
      </c>
      <c r="E260" s="117">
        <v>1</v>
      </c>
      <c r="F260" s="117"/>
      <c r="G260" s="117"/>
      <c r="H260" s="118"/>
      <c r="I260" s="65" t="s">
        <v>639</v>
      </c>
      <c r="J260" s="30"/>
      <c r="K260" s="30"/>
      <c r="L260" s="30"/>
      <c r="M260" s="30"/>
    </row>
    <row r="261" spans="1:13" s="68" customFormat="1" ht="17.25" customHeight="1" x14ac:dyDescent="0.35">
      <c r="A261" s="116"/>
      <c r="B261" s="117"/>
      <c r="C261" s="117"/>
      <c r="D261" s="117" t="s">
        <v>36</v>
      </c>
      <c r="E261" s="117">
        <v>1</v>
      </c>
      <c r="F261" s="117"/>
      <c r="G261" s="117"/>
      <c r="H261" s="118"/>
      <c r="I261" s="65" t="s">
        <v>640</v>
      </c>
      <c r="J261" s="30"/>
      <c r="K261" s="30"/>
      <c r="L261" s="30"/>
      <c r="M261" s="30"/>
    </row>
    <row r="262" spans="1:13" s="68" customFormat="1" ht="17.25" customHeight="1" x14ac:dyDescent="0.35">
      <c r="A262" s="116"/>
      <c r="B262" s="117"/>
      <c r="C262" s="117"/>
      <c r="D262" s="117" t="s">
        <v>36</v>
      </c>
      <c r="E262" s="117">
        <v>1</v>
      </c>
      <c r="F262" s="117">
        <v>2</v>
      </c>
      <c r="G262" s="117"/>
      <c r="H262" s="118"/>
      <c r="I262" s="65" t="s">
        <v>641</v>
      </c>
      <c r="J262" s="30"/>
      <c r="K262" s="30"/>
      <c r="L262" s="30"/>
      <c r="M262" s="30"/>
    </row>
    <row r="263" spans="1:13" s="68" customFormat="1" ht="17.25" customHeight="1" x14ac:dyDescent="0.35">
      <c r="A263" s="116"/>
      <c r="B263" s="117"/>
      <c r="C263" s="117"/>
      <c r="D263" s="117" t="s">
        <v>36</v>
      </c>
      <c r="E263" s="117">
        <v>1</v>
      </c>
      <c r="F263" s="117">
        <v>0</v>
      </c>
      <c r="G263" s="117"/>
      <c r="H263" s="118"/>
      <c r="I263" s="65" t="s">
        <v>642</v>
      </c>
      <c r="J263" s="30"/>
      <c r="K263" s="30"/>
      <c r="L263" s="30"/>
      <c r="M263" s="30"/>
    </row>
    <row r="264" spans="1:13" s="68" customFormat="1" ht="17.25" customHeight="1" x14ac:dyDescent="0.35">
      <c r="A264" s="116"/>
      <c r="B264" s="117"/>
      <c r="C264" s="117"/>
      <c r="D264" s="117" t="s">
        <v>36</v>
      </c>
      <c r="E264" s="117">
        <v>1</v>
      </c>
      <c r="F264" s="117">
        <v>100</v>
      </c>
      <c r="G264" s="117"/>
      <c r="H264" s="118"/>
      <c r="I264" s="65" t="s">
        <v>643</v>
      </c>
      <c r="J264" s="30"/>
      <c r="K264" s="30"/>
      <c r="L264" s="30"/>
      <c r="M264" s="30"/>
    </row>
    <row r="265" spans="1:13" s="68" customFormat="1" ht="17.25" customHeight="1" x14ac:dyDescent="0.35">
      <c r="A265" s="116"/>
      <c r="B265" s="117"/>
      <c r="C265" s="117"/>
      <c r="D265" s="117" t="s">
        <v>36</v>
      </c>
      <c r="E265" s="117">
        <v>1</v>
      </c>
      <c r="F265" s="117">
        <v>40</v>
      </c>
      <c r="G265" s="117"/>
      <c r="H265" s="118"/>
      <c r="I265" s="65" t="s">
        <v>644</v>
      </c>
      <c r="J265" s="30"/>
      <c r="K265" s="30"/>
      <c r="L265" s="30"/>
      <c r="M265" s="30"/>
    </row>
    <row r="266" spans="1:13" s="68" customFormat="1" ht="17.25" customHeight="1" x14ac:dyDescent="0.35">
      <c r="A266" s="116"/>
      <c r="B266" s="117"/>
      <c r="C266" s="117"/>
      <c r="D266" s="117" t="s">
        <v>36</v>
      </c>
      <c r="E266" s="117">
        <v>1</v>
      </c>
      <c r="F266" s="117">
        <v>0</v>
      </c>
      <c r="G266" s="117"/>
      <c r="H266" s="118"/>
      <c r="I266" s="65" t="s">
        <v>645</v>
      </c>
      <c r="J266" s="30"/>
      <c r="K266" s="30"/>
      <c r="L266" s="30"/>
      <c r="M266" s="30"/>
    </row>
    <row r="267" spans="1:13" s="68" customFormat="1" ht="17.25" customHeight="1" x14ac:dyDescent="0.35">
      <c r="A267" s="116"/>
      <c r="B267" s="117"/>
      <c r="C267" s="117"/>
      <c r="D267" s="117" t="s">
        <v>36</v>
      </c>
      <c r="E267" s="117">
        <v>1</v>
      </c>
      <c r="F267" s="117"/>
      <c r="G267" s="117"/>
      <c r="H267" s="118"/>
      <c r="I267" s="65" t="s">
        <v>646</v>
      </c>
      <c r="J267" s="30"/>
      <c r="K267" s="30"/>
      <c r="L267" s="30"/>
      <c r="M267" s="30"/>
    </row>
    <row r="268" spans="1:13" s="68" customFormat="1" ht="17.25" customHeight="1" x14ac:dyDescent="0.35">
      <c r="A268" s="116"/>
      <c r="B268" s="117"/>
      <c r="C268" s="117"/>
      <c r="D268" s="117" t="s">
        <v>36</v>
      </c>
      <c r="E268" s="117">
        <v>1</v>
      </c>
      <c r="F268" s="117"/>
      <c r="G268" s="117"/>
      <c r="H268" s="118"/>
      <c r="I268" s="65" t="s">
        <v>647</v>
      </c>
      <c r="J268" s="30"/>
      <c r="K268" s="30"/>
      <c r="L268" s="30"/>
      <c r="M268" s="30"/>
    </row>
    <row r="269" spans="1:13" s="68" customFormat="1" ht="17.25" customHeight="1" x14ac:dyDescent="0.35">
      <c r="A269" s="116"/>
      <c r="B269" s="117"/>
      <c r="C269" s="117"/>
      <c r="D269" s="117" t="s">
        <v>36</v>
      </c>
      <c r="E269" s="117">
        <v>1</v>
      </c>
      <c r="F269" s="117">
        <v>20</v>
      </c>
      <c r="G269" s="117"/>
      <c r="H269" s="118"/>
      <c r="I269" s="65" t="s">
        <v>648</v>
      </c>
      <c r="J269" s="30"/>
      <c r="K269" s="30"/>
      <c r="L269" s="30"/>
      <c r="M269" s="30"/>
    </row>
    <row r="270" spans="1:13" s="68" customFormat="1" ht="17.25" customHeight="1" x14ac:dyDescent="0.35">
      <c r="A270" s="116"/>
      <c r="B270" s="117"/>
      <c r="C270" s="117"/>
      <c r="D270" s="117" t="s">
        <v>36</v>
      </c>
      <c r="E270" s="117">
        <v>2</v>
      </c>
      <c r="F270" s="117">
        <v>5</v>
      </c>
      <c r="G270" s="117"/>
      <c r="H270" s="118"/>
      <c r="I270" s="65" t="s">
        <v>649</v>
      </c>
      <c r="J270" s="30"/>
      <c r="K270" s="30"/>
      <c r="L270" s="30"/>
      <c r="M270" s="30"/>
    </row>
    <row r="271" spans="1:13" s="68" customFormat="1" ht="17.25" customHeight="1" x14ac:dyDescent="0.35">
      <c r="A271" s="116"/>
      <c r="B271" s="117"/>
      <c r="C271" s="117"/>
      <c r="D271" s="117" t="s">
        <v>36</v>
      </c>
      <c r="E271" s="117">
        <v>2</v>
      </c>
      <c r="F271" s="117">
        <v>60</v>
      </c>
      <c r="G271" s="117"/>
      <c r="H271" s="118"/>
      <c r="I271" s="65" t="s">
        <v>650</v>
      </c>
      <c r="J271" s="30"/>
      <c r="K271" s="30"/>
      <c r="L271" s="30"/>
      <c r="M271" s="30"/>
    </row>
    <row r="272" spans="1:13" s="68" customFormat="1" ht="17.25" customHeight="1" x14ac:dyDescent="0.35">
      <c r="A272" s="116"/>
      <c r="B272" s="117"/>
      <c r="C272" s="117"/>
      <c r="D272" s="117" t="s">
        <v>36</v>
      </c>
      <c r="E272" s="117">
        <v>2</v>
      </c>
      <c r="F272" s="117">
        <v>60</v>
      </c>
      <c r="G272" s="117"/>
      <c r="H272" s="118"/>
      <c r="I272" s="65" t="s">
        <v>651</v>
      </c>
      <c r="J272" s="30"/>
      <c r="K272" s="30"/>
      <c r="L272" s="30"/>
      <c r="M272" s="30"/>
    </row>
    <row r="273" spans="1:13" s="68" customFormat="1" ht="17.25" customHeight="1" x14ac:dyDescent="0.35">
      <c r="A273" s="116"/>
      <c r="B273" s="117"/>
      <c r="C273" s="117"/>
      <c r="D273" s="117" t="s">
        <v>36</v>
      </c>
      <c r="E273" s="117">
        <v>2</v>
      </c>
      <c r="F273" s="117">
        <v>60</v>
      </c>
      <c r="G273" s="117"/>
      <c r="H273" s="118"/>
      <c r="I273" s="65" t="s">
        <v>652</v>
      </c>
      <c r="J273" s="30"/>
      <c r="K273" s="30"/>
      <c r="L273" s="30"/>
      <c r="M273" s="30"/>
    </row>
    <row r="274" spans="1:13" s="30" customFormat="1" ht="19.5" x14ac:dyDescent="0.4">
      <c r="A274" s="116" t="s">
        <v>653</v>
      </c>
      <c r="B274" s="117" t="s">
        <v>653</v>
      </c>
      <c r="C274" s="117"/>
      <c r="D274" s="117" t="s">
        <v>36</v>
      </c>
      <c r="E274" s="117">
        <v>1</v>
      </c>
      <c r="F274" s="117"/>
      <c r="G274" s="117"/>
      <c r="H274" s="118"/>
      <c r="I274" s="63" t="s">
        <v>654</v>
      </c>
    </row>
    <row r="275" spans="1:13" s="30" customFormat="1" ht="19.5" customHeight="1" x14ac:dyDescent="0.4">
      <c r="A275" s="116" t="s">
        <v>653</v>
      </c>
      <c r="B275" s="117" t="s">
        <v>653</v>
      </c>
      <c r="C275" s="117"/>
      <c r="D275" s="117" t="s">
        <v>36</v>
      </c>
      <c r="E275" s="117">
        <v>1</v>
      </c>
      <c r="F275" s="117"/>
      <c r="G275" s="117"/>
      <c r="H275" s="118"/>
      <c r="I275" s="63" t="s">
        <v>655</v>
      </c>
    </row>
    <row r="276" spans="1:13" s="30" customFormat="1" ht="19.5" x14ac:dyDescent="0.4">
      <c r="A276" s="116" t="s">
        <v>653</v>
      </c>
      <c r="B276" s="117" t="s">
        <v>653</v>
      </c>
      <c r="C276" s="117"/>
      <c r="D276" s="117" t="s">
        <v>36</v>
      </c>
      <c r="E276" s="117">
        <v>1</v>
      </c>
      <c r="F276" s="117"/>
      <c r="G276" s="117"/>
      <c r="H276" s="118"/>
      <c r="I276" s="63" t="s">
        <v>656</v>
      </c>
    </row>
    <row r="277" spans="1:13" s="30" customFormat="1" ht="19.5" customHeight="1" x14ac:dyDescent="0.4">
      <c r="A277" s="116" t="s">
        <v>653</v>
      </c>
      <c r="B277" s="117" t="s">
        <v>653</v>
      </c>
      <c r="C277" s="117"/>
      <c r="D277" s="117" t="s">
        <v>36</v>
      </c>
      <c r="E277" s="117">
        <v>2</v>
      </c>
      <c r="F277" s="117" t="s">
        <v>657</v>
      </c>
      <c r="G277" s="117"/>
      <c r="H277" s="118"/>
      <c r="I277" s="63" t="s">
        <v>658</v>
      </c>
    </row>
    <row r="278" spans="1:13" s="30" customFormat="1" ht="19.5" customHeight="1" x14ac:dyDescent="0.4">
      <c r="A278" s="116"/>
      <c r="B278" s="117"/>
      <c r="C278" s="117"/>
      <c r="D278" s="117" t="s">
        <v>36</v>
      </c>
      <c r="E278" s="117">
        <v>1</v>
      </c>
      <c r="F278" s="117">
        <v>3</v>
      </c>
      <c r="G278" s="117"/>
      <c r="H278" s="118"/>
      <c r="I278" s="63" t="s">
        <v>659</v>
      </c>
    </row>
    <row r="279" spans="1:13" s="30" customFormat="1" ht="19.5" customHeight="1" x14ac:dyDescent="0.4">
      <c r="A279" s="116"/>
      <c r="B279" s="117"/>
      <c r="C279" s="117"/>
      <c r="D279" s="117" t="s">
        <v>36</v>
      </c>
      <c r="E279" s="117">
        <v>1</v>
      </c>
      <c r="F279" s="117">
        <v>0</v>
      </c>
      <c r="G279" s="117"/>
      <c r="H279" s="118"/>
      <c r="I279" s="63" t="s">
        <v>660</v>
      </c>
    </row>
    <row r="280" spans="1:13" s="30" customFormat="1" ht="19.5" customHeight="1" x14ac:dyDescent="0.4">
      <c r="A280" s="116"/>
      <c r="B280" s="117"/>
      <c r="C280" s="117"/>
      <c r="D280" s="117" t="s">
        <v>36</v>
      </c>
      <c r="E280" s="117">
        <v>1</v>
      </c>
      <c r="F280" s="117">
        <v>0</v>
      </c>
      <c r="G280" s="117"/>
      <c r="H280" s="118"/>
      <c r="I280" s="63" t="s">
        <v>661</v>
      </c>
    </row>
    <row r="281" spans="1:13" s="30" customFormat="1" ht="19.5" customHeight="1" x14ac:dyDescent="0.4">
      <c r="A281" s="116"/>
      <c r="B281" s="117"/>
      <c r="C281" s="117"/>
      <c r="D281" s="117" t="s">
        <v>36</v>
      </c>
      <c r="E281" s="117">
        <v>4</v>
      </c>
      <c r="F281" s="117">
        <v>46</v>
      </c>
      <c r="G281" s="117"/>
      <c r="H281" s="118"/>
      <c r="I281" s="63" t="s">
        <v>662</v>
      </c>
    </row>
    <row r="282" spans="1:13" s="30" customFormat="1" ht="19.5" customHeight="1" x14ac:dyDescent="0.4">
      <c r="A282" s="116"/>
      <c r="B282" s="117"/>
      <c r="C282" s="117"/>
      <c r="D282" s="117" t="s">
        <v>36</v>
      </c>
      <c r="E282" s="117">
        <v>4</v>
      </c>
      <c r="F282" s="117">
        <v>46</v>
      </c>
      <c r="G282" s="117"/>
      <c r="H282" s="118"/>
      <c r="I282" s="63" t="s">
        <v>663</v>
      </c>
    </row>
    <row r="283" spans="1:13" s="30" customFormat="1" ht="19.5" customHeight="1" x14ac:dyDescent="0.4">
      <c r="A283" s="116"/>
      <c r="B283" s="117"/>
      <c r="C283" s="117"/>
      <c r="D283" s="117" t="s">
        <v>36</v>
      </c>
      <c r="E283" s="117">
        <v>1</v>
      </c>
      <c r="F283" s="117">
        <v>0</v>
      </c>
      <c r="G283" s="117"/>
      <c r="H283" s="118"/>
      <c r="I283" s="63" t="s">
        <v>664</v>
      </c>
    </row>
    <row r="284" spans="1:13" s="30" customFormat="1" ht="19.5" customHeight="1" x14ac:dyDescent="0.4">
      <c r="A284" s="116"/>
      <c r="B284" s="117"/>
      <c r="C284" s="117"/>
      <c r="D284" s="117" t="s">
        <v>36</v>
      </c>
      <c r="E284" s="117">
        <v>484</v>
      </c>
      <c r="F284" s="117"/>
      <c r="G284" s="117"/>
      <c r="H284" s="118"/>
      <c r="I284" s="63" t="s">
        <v>665</v>
      </c>
    </row>
    <row r="285" spans="1:13" s="68" customFormat="1" ht="17.25" customHeight="1" x14ac:dyDescent="0.35">
      <c r="A285" s="116" t="s">
        <v>666</v>
      </c>
      <c r="B285" s="117" t="s">
        <v>667</v>
      </c>
      <c r="C285" s="117" t="s">
        <v>58</v>
      </c>
      <c r="D285" s="117"/>
      <c r="E285" s="117"/>
      <c r="F285" s="117"/>
      <c r="G285" s="117" t="s">
        <v>591</v>
      </c>
      <c r="H285" s="118"/>
      <c r="I285" s="65">
        <v>67314</v>
      </c>
      <c r="J285" s="30"/>
      <c r="K285" s="30"/>
      <c r="L285" s="30"/>
      <c r="M285" s="30"/>
    </row>
    <row r="286" spans="1:13" s="68" customFormat="1" ht="17.25" customHeight="1" x14ac:dyDescent="0.35">
      <c r="A286" s="116"/>
      <c r="B286" s="117"/>
      <c r="C286" s="117"/>
      <c r="D286" s="117" t="s">
        <v>36</v>
      </c>
      <c r="E286" s="117">
        <v>4</v>
      </c>
      <c r="F286" s="117"/>
      <c r="G286" s="117"/>
      <c r="H286" s="118"/>
      <c r="I286" s="65" t="s">
        <v>668</v>
      </c>
      <c r="J286" s="30"/>
      <c r="K286" s="30"/>
      <c r="L286" s="30"/>
      <c r="M286" s="30"/>
    </row>
    <row r="287" spans="1:13" s="68" customFormat="1" ht="17.25" customHeight="1" x14ac:dyDescent="0.35">
      <c r="A287" s="116"/>
      <c r="B287" s="117"/>
      <c r="C287" s="117"/>
      <c r="D287" s="117" t="s">
        <v>36</v>
      </c>
      <c r="E287" s="117">
        <v>4</v>
      </c>
      <c r="F287" s="117"/>
      <c r="G287" s="117"/>
      <c r="H287" s="118"/>
      <c r="I287" s="65" t="s">
        <v>669</v>
      </c>
      <c r="J287" s="30"/>
      <c r="K287" s="30"/>
      <c r="L287" s="30"/>
      <c r="M287" s="30"/>
    </row>
    <row r="288" spans="1:13" s="68" customFormat="1" ht="17.25" customHeight="1" x14ac:dyDescent="0.35">
      <c r="A288" s="116"/>
      <c r="B288" s="117"/>
      <c r="C288" s="117"/>
      <c r="D288" s="117" t="s">
        <v>36</v>
      </c>
      <c r="E288" s="117">
        <v>4</v>
      </c>
      <c r="F288" s="117"/>
      <c r="G288" s="117"/>
      <c r="H288" s="118"/>
      <c r="I288" s="65" t="s">
        <v>670</v>
      </c>
      <c r="J288" s="30"/>
      <c r="K288" s="30"/>
      <c r="L288" s="30"/>
      <c r="M288" s="30"/>
    </row>
    <row r="289" spans="1:13" s="68" customFormat="1" ht="17.25" customHeight="1" x14ac:dyDescent="0.35">
      <c r="A289" s="116"/>
      <c r="B289" s="117"/>
      <c r="C289" s="117"/>
      <c r="D289" s="117" t="s">
        <v>36</v>
      </c>
      <c r="E289" s="117">
        <v>4</v>
      </c>
      <c r="F289" s="117"/>
      <c r="G289" s="117"/>
      <c r="H289" s="118"/>
      <c r="I289" s="65" t="s">
        <v>671</v>
      </c>
      <c r="J289" s="30"/>
      <c r="K289" s="30"/>
      <c r="L289" s="30"/>
      <c r="M289" s="30"/>
    </row>
    <row r="290" spans="1:13" s="68" customFormat="1" ht="17.25" customHeight="1" x14ac:dyDescent="0.35">
      <c r="A290" s="116"/>
      <c r="B290" s="117"/>
      <c r="C290" s="117"/>
      <c r="D290" s="117" t="s">
        <v>36</v>
      </c>
      <c r="E290" s="117">
        <v>1</v>
      </c>
      <c r="F290" s="117"/>
      <c r="G290" s="117"/>
      <c r="H290" s="118"/>
      <c r="I290" s="65" t="s">
        <v>672</v>
      </c>
      <c r="J290" s="30"/>
      <c r="K290" s="30"/>
      <c r="L290" s="30"/>
      <c r="M290" s="30"/>
    </row>
    <row r="291" spans="1:13" s="68" customFormat="1" ht="17.25" customHeight="1" x14ac:dyDescent="0.35">
      <c r="A291" s="116"/>
      <c r="B291" s="117"/>
      <c r="C291" s="117"/>
      <c r="D291" s="117" t="s">
        <v>36</v>
      </c>
      <c r="E291" s="117">
        <v>4</v>
      </c>
      <c r="F291" s="117"/>
      <c r="G291" s="117"/>
      <c r="H291" s="118"/>
      <c r="I291" s="65" t="s">
        <v>673</v>
      </c>
      <c r="J291" s="30"/>
      <c r="K291" s="30"/>
      <c r="L291" s="30"/>
      <c r="M291" s="30"/>
    </row>
    <row r="292" spans="1:13" s="68" customFormat="1" ht="17.25" customHeight="1" x14ac:dyDescent="0.35">
      <c r="A292" s="116"/>
      <c r="B292" s="117"/>
      <c r="C292" s="117"/>
      <c r="D292" s="117" t="s">
        <v>36</v>
      </c>
      <c r="E292" s="117">
        <v>4</v>
      </c>
      <c r="F292" s="117"/>
      <c r="G292" s="117"/>
      <c r="H292" s="118"/>
      <c r="I292" s="65" t="s">
        <v>674</v>
      </c>
      <c r="J292" s="30"/>
      <c r="K292" s="30"/>
      <c r="L292" s="30"/>
      <c r="M292" s="30"/>
    </row>
    <row r="293" spans="1:13" s="68" customFormat="1" ht="17.25" customHeight="1" x14ac:dyDescent="0.35">
      <c r="A293" s="116"/>
      <c r="B293" s="117"/>
      <c r="C293" s="117"/>
      <c r="D293" s="117" t="s">
        <v>36</v>
      </c>
      <c r="E293" s="117">
        <v>4</v>
      </c>
      <c r="F293" s="117"/>
      <c r="G293" s="117"/>
      <c r="H293" s="118"/>
      <c r="I293" s="65" t="s">
        <v>675</v>
      </c>
      <c r="J293" s="30"/>
      <c r="K293" s="30"/>
      <c r="L293" s="30"/>
      <c r="M293" s="30"/>
    </row>
    <row r="294" spans="1:13" s="68" customFormat="1" ht="17.25" customHeight="1" x14ac:dyDescent="0.35">
      <c r="A294" s="116"/>
      <c r="B294" s="117"/>
      <c r="C294" s="117"/>
      <c r="D294" s="117" t="s">
        <v>36</v>
      </c>
      <c r="E294" s="117">
        <v>4</v>
      </c>
      <c r="F294" s="117"/>
      <c r="G294" s="117"/>
      <c r="H294" s="118"/>
      <c r="I294" s="65" t="s">
        <v>676</v>
      </c>
      <c r="J294" s="30"/>
      <c r="K294" s="30"/>
      <c r="L294" s="30"/>
      <c r="M294" s="30"/>
    </row>
    <row r="295" spans="1:13" s="68" customFormat="1" ht="17.25" customHeight="1" x14ac:dyDescent="0.35">
      <c r="A295" s="116"/>
      <c r="B295" s="117"/>
      <c r="C295" s="117"/>
      <c r="D295" s="117" t="s">
        <v>36</v>
      </c>
      <c r="E295" s="117">
        <v>1</v>
      </c>
      <c r="F295" s="117">
        <v>0</v>
      </c>
      <c r="G295" s="117"/>
      <c r="H295" s="118"/>
      <c r="I295" s="65" t="s">
        <v>677</v>
      </c>
      <c r="J295" s="30"/>
      <c r="K295" s="30"/>
      <c r="L295" s="30"/>
      <c r="M295" s="30"/>
    </row>
    <row r="296" spans="1:13" s="68" customFormat="1" ht="17.25" customHeight="1" x14ac:dyDescent="0.35">
      <c r="A296" s="116"/>
      <c r="B296" s="117"/>
      <c r="C296" s="117"/>
      <c r="D296" s="117" t="s">
        <v>37</v>
      </c>
      <c r="E296" s="117">
        <v>128</v>
      </c>
      <c r="F296" s="117"/>
      <c r="G296" s="117"/>
      <c r="H296" s="118"/>
      <c r="I296" s="65" t="s">
        <v>678</v>
      </c>
      <c r="J296" s="30"/>
      <c r="K296" s="30"/>
      <c r="L296" s="30"/>
      <c r="M296" s="30"/>
    </row>
    <row r="297" spans="1:13" s="68" customFormat="1" ht="17.25" customHeight="1" x14ac:dyDescent="0.35">
      <c r="A297" s="116"/>
      <c r="B297" s="117"/>
      <c r="C297" s="117"/>
      <c r="D297" s="117" t="s">
        <v>36</v>
      </c>
      <c r="E297" s="117">
        <v>4</v>
      </c>
      <c r="F297" s="117"/>
      <c r="G297" s="117"/>
      <c r="H297" s="118"/>
      <c r="I297" s="65" t="s">
        <v>679</v>
      </c>
      <c r="J297" s="30"/>
      <c r="K297" s="30"/>
      <c r="L297" s="30"/>
      <c r="M297" s="30"/>
    </row>
    <row r="298" spans="1:13" s="68" customFormat="1" ht="17.25" customHeight="1" x14ac:dyDescent="0.35">
      <c r="A298" s="116"/>
      <c r="B298" s="117"/>
      <c r="C298" s="117"/>
      <c r="D298" s="117" t="s">
        <v>36</v>
      </c>
      <c r="E298" s="117">
        <v>4</v>
      </c>
      <c r="F298" s="117"/>
      <c r="G298" s="117"/>
      <c r="H298" s="118"/>
      <c r="I298" s="65" t="s">
        <v>680</v>
      </c>
      <c r="J298" s="30"/>
      <c r="K298" s="30"/>
      <c r="L298" s="30"/>
      <c r="M298" s="30"/>
    </row>
    <row r="299" spans="1:13" s="68" customFormat="1" ht="17.25" customHeight="1" x14ac:dyDescent="0.35">
      <c r="A299" s="116"/>
      <c r="B299" s="117"/>
      <c r="C299" s="117"/>
      <c r="D299" s="117" t="s">
        <v>36</v>
      </c>
      <c r="E299" s="117">
        <v>1</v>
      </c>
      <c r="F299" s="117"/>
      <c r="G299" s="117"/>
      <c r="H299" s="118"/>
      <c r="I299" s="65" t="s">
        <v>681</v>
      </c>
      <c r="J299" s="30"/>
      <c r="K299" s="30"/>
      <c r="L299" s="30"/>
      <c r="M299" s="30"/>
    </row>
    <row r="300" spans="1:13" s="68" customFormat="1" ht="17.25" customHeight="1" x14ac:dyDescent="0.35">
      <c r="A300" s="116"/>
      <c r="B300" s="117"/>
      <c r="C300" s="117"/>
      <c r="D300" s="117" t="s">
        <v>36</v>
      </c>
      <c r="E300" s="117">
        <v>1</v>
      </c>
      <c r="F300" s="117"/>
      <c r="G300" s="117"/>
      <c r="H300" s="118"/>
      <c r="I300" s="65" t="s">
        <v>682</v>
      </c>
      <c r="J300" s="30"/>
      <c r="K300" s="30"/>
      <c r="L300" s="30"/>
      <c r="M300" s="30"/>
    </row>
    <row r="301" spans="1:13" s="68" customFormat="1" ht="17.25" customHeight="1" x14ac:dyDescent="0.35">
      <c r="A301" s="116" t="s">
        <v>150</v>
      </c>
      <c r="B301" s="117" t="s">
        <v>151</v>
      </c>
      <c r="C301" s="117" t="s">
        <v>58</v>
      </c>
      <c r="D301" s="117"/>
      <c r="E301" s="117"/>
      <c r="F301" s="117"/>
      <c r="G301" s="117" t="s">
        <v>591</v>
      </c>
      <c r="H301" s="118"/>
      <c r="I301" s="65">
        <v>67257</v>
      </c>
      <c r="J301" s="30"/>
      <c r="K301" s="30"/>
      <c r="L301" s="30"/>
      <c r="M301" s="30"/>
    </row>
    <row r="302" spans="1:13" s="68" customFormat="1" ht="17.25" customHeight="1" x14ac:dyDescent="0.35">
      <c r="A302" s="116"/>
      <c r="B302" s="117"/>
      <c r="C302" s="117"/>
      <c r="D302" s="117" t="s">
        <v>36</v>
      </c>
      <c r="E302" s="117">
        <v>1</v>
      </c>
      <c r="F302" s="117">
        <v>0</v>
      </c>
      <c r="G302" s="117"/>
      <c r="H302" s="118"/>
      <c r="I302" s="65" t="s">
        <v>177</v>
      </c>
      <c r="J302" s="30"/>
      <c r="K302" s="30"/>
      <c r="L302" s="30"/>
      <c r="M302" s="30"/>
    </row>
    <row r="303" spans="1:13" s="68" customFormat="1" ht="17.25" customHeight="1" x14ac:dyDescent="0.35">
      <c r="A303" s="116"/>
      <c r="B303" s="117"/>
      <c r="C303" s="117"/>
      <c r="D303" s="117" t="s">
        <v>36</v>
      </c>
      <c r="E303" s="117">
        <v>1</v>
      </c>
      <c r="F303" s="117">
        <v>1</v>
      </c>
      <c r="G303" s="117"/>
      <c r="H303" s="118"/>
      <c r="I303" s="65" t="s">
        <v>178</v>
      </c>
      <c r="J303" s="30"/>
      <c r="K303" s="30"/>
      <c r="L303" s="30"/>
      <c r="M303" s="30"/>
    </row>
    <row r="304" spans="1:13" s="68" customFormat="1" ht="17.25" customHeight="1" x14ac:dyDescent="0.35">
      <c r="A304" s="116"/>
      <c r="B304" s="117"/>
      <c r="C304" s="117"/>
      <c r="D304" s="117" t="s">
        <v>36</v>
      </c>
      <c r="E304" s="117">
        <v>1</v>
      </c>
      <c r="F304" s="117">
        <v>1</v>
      </c>
      <c r="G304" s="117"/>
      <c r="H304" s="118"/>
      <c r="I304" s="65" t="s">
        <v>179</v>
      </c>
      <c r="J304" s="30"/>
      <c r="K304" s="30"/>
      <c r="L304" s="30"/>
      <c r="M304" s="30"/>
    </row>
    <row r="305" spans="1:13" s="68" customFormat="1" ht="17.25" customHeight="1" x14ac:dyDescent="0.35">
      <c r="A305" s="116"/>
      <c r="B305" s="117"/>
      <c r="C305" s="117"/>
      <c r="D305" s="117" t="s">
        <v>37</v>
      </c>
      <c r="E305" s="117">
        <v>128</v>
      </c>
      <c r="F305" s="117" t="s">
        <v>180</v>
      </c>
      <c r="G305" s="117"/>
      <c r="H305" s="118"/>
      <c r="I305" s="65" t="s">
        <v>181</v>
      </c>
      <c r="J305" s="30"/>
      <c r="K305" s="30"/>
      <c r="L305" s="30"/>
      <c r="M305" s="30"/>
    </row>
    <row r="306" spans="1:13" s="68" customFormat="1" ht="17.25" customHeight="1" x14ac:dyDescent="0.35">
      <c r="A306" s="116"/>
      <c r="B306" s="117"/>
      <c r="C306" s="117"/>
      <c r="D306" s="117" t="s">
        <v>36</v>
      </c>
      <c r="E306" s="117">
        <v>2</v>
      </c>
      <c r="F306" s="117">
        <v>1800</v>
      </c>
      <c r="G306" s="117"/>
      <c r="H306" s="118"/>
      <c r="I306" s="65" t="s">
        <v>182</v>
      </c>
      <c r="J306" s="30"/>
      <c r="K306" s="30"/>
      <c r="L306" s="30"/>
      <c r="M306" s="30"/>
    </row>
    <row r="307" spans="1:13" s="68" customFormat="1" ht="17.25" customHeight="1" x14ac:dyDescent="0.35">
      <c r="A307" s="116"/>
      <c r="B307" s="117"/>
      <c r="C307" s="117"/>
      <c r="D307" s="117" t="s">
        <v>36</v>
      </c>
      <c r="E307" s="117">
        <v>2</v>
      </c>
      <c r="F307" s="117">
        <v>600</v>
      </c>
      <c r="G307" s="117"/>
      <c r="H307" s="118"/>
      <c r="I307" s="65" t="s">
        <v>183</v>
      </c>
      <c r="J307" s="30"/>
      <c r="K307" s="30"/>
      <c r="L307" s="30"/>
      <c r="M307" s="30"/>
    </row>
    <row r="308" spans="1:13" s="68" customFormat="1" ht="17.25" customHeight="1" x14ac:dyDescent="0.35">
      <c r="A308" s="116"/>
      <c r="B308" s="117"/>
      <c r="C308" s="117"/>
      <c r="D308" s="117" t="s">
        <v>36</v>
      </c>
      <c r="E308" s="117">
        <v>1</v>
      </c>
      <c r="F308" s="117">
        <v>0</v>
      </c>
      <c r="G308" s="117"/>
      <c r="H308" s="118"/>
      <c r="I308" s="65" t="s">
        <v>184</v>
      </c>
      <c r="J308" s="30"/>
      <c r="K308" s="30"/>
      <c r="L308" s="30"/>
      <c r="M308" s="30"/>
    </row>
    <row r="309" spans="1:13" s="68" customFormat="1" ht="17.25" customHeight="1" x14ac:dyDescent="0.35">
      <c r="A309" s="116"/>
      <c r="B309" s="117"/>
      <c r="C309" s="117"/>
      <c r="D309" s="117" t="s">
        <v>37</v>
      </c>
      <c r="E309" s="117">
        <v>128</v>
      </c>
      <c r="F309" s="117" t="s">
        <v>477</v>
      </c>
      <c r="G309" s="117"/>
      <c r="H309" s="118"/>
      <c r="I309" s="65" t="s">
        <v>185</v>
      </c>
      <c r="J309" s="30"/>
      <c r="K309" s="30"/>
      <c r="L309" s="30"/>
      <c r="M309" s="30"/>
    </row>
    <row r="310" spans="1:13" s="68" customFormat="1" ht="17.25" customHeight="1" x14ac:dyDescent="0.35">
      <c r="A310" s="116"/>
      <c r="B310" s="117"/>
      <c r="C310" s="117"/>
      <c r="D310" s="117" t="s">
        <v>36</v>
      </c>
      <c r="E310" s="117">
        <v>1</v>
      </c>
      <c r="F310" s="117">
        <v>1</v>
      </c>
      <c r="G310" s="117"/>
      <c r="H310" s="118"/>
      <c r="I310" s="65" t="s">
        <v>186</v>
      </c>
      <c r="J310" s="30"/>
      <c r="K310" s="30"/>
      <c r="L310" s="30"/>
      <c r="M310" s="30"/>
    </row>
    <row r="311" spans="1:13" s="68" customFormat="1" ht="17.25" customHeight="1" x14ac:dyDescent="0.35">
      <c r="A311" s="116"/>
      <c r="B311" s="117"/>
      <c r="C311" s="117"/>
      <c r="D311" s="117" t="s">
        <v>36</v>
      </c>
      <c r="E311" s="117">
        <v>2</v>
      </c>
      <c r="F311" s="117">
        <v>1800</v>
      </c>
      <c r="G311" s="117"/>
      <c r="H311" s="118"/>
      <c r="I311" s="65" t="s">
        <v>187</v>
      </c>
      <c r="J311" s="30"/>
      <c r="K311" s="30"/>
      <c r="L311" s="30"/>
      <c r="M311" s="30"/>
    </row>
    <row r="312" spans="1:13" s="68" customFormat="1" ht="17.25" customHeight="1" x14ac:dyDescent="0.35">
      <c r="A312" s="116"/>
      <c r="B312" s="117"/>
      <c r="C312" s="117"/>
      <c r="D312" s="117" t="s">
        <v>36</v>
      </c>
      <c r="E312" s="117">
        <v>1</v>
      </c>
      <c r="F312" s="117">
        <v>0</v>
      </c>
      <c r="G312" s="117"/>
      <c r="H312" s="118"/>
      <c r="I312" s="65" t="s">
        <v>188</v>
      </c>
      <c r="J312" s="30"/>
      <c r="K312" s="30"/>
      <c r="L312" s="30"/>
      <c r="M312" s="30"/>
    </row>
    <row r="313" spans="1:13" s="68" customFormat="1" ht="17.25" customHeight="1" x14ac:dyDescent="0.35">
      <c r="A313" s="116"/>
      <c r="B313" s="117"/>
      <c r="C313" s="117"/>
      <c r="D313" s="117" t="s">
        <v>36</v>
      </c>
      <c r="E313" s="117">
        <v>1</v>
      </c>
      <c r="F313" s="117">
        <v>0</v>
      </c>
      <c r="G313" s="117"/>
      <c r="H313" s="118"/>
      <c r="I313" s="65" t="s">
        <v>189</v>
      </c>
      <c r="J313" s="30"/>
      <c r="K313" s="30"/>
      <c r="L313" s="30"/>
      <c r="M313" s="30"/>
    </row>
    <row r="314" spans="1:13" s="68" customFormat="1" ht="17.25" customHeight="1" x14ac:dyDescent="0.35">
      <c r="A314" s="116"/>
      <c r="B314" s="117"/>
      <c r="C314" s="117"/>
      <c r="D314" s="117" t="s">
        <v>37</v>
      </c>
      <c r="E314" s="117">
        <v>128</v>
      </c>
      <c r="F314" s="117"/>
      <c r="G314" s="117"/>
      <c r="H314" s="118"/>
      <c r="I314" s="65" t="s">
        <v>190</v>
      </c>
      <c r="J314" s="30"/>
      <c r="K314" s="30"/>
      <c r="L314" s="30"/>
      <c r="M314" s="30"/>
    </row>
    <row r="315" spans="1:13" s="68" customFormat="1" ht="17.25" customHeight="1" x14ac:dyDescent="0.35">
      <c r="A315" s="116"/>
      <c r="B315" s="117"/>
      <c r="C315" s="117"/>
      <c r="D315" s="117"/>
      <c r="E315" s="117"/>
      <c r="F315" s="117"/>
      <c r="G315" s="117"/>
      <c r="H315" s="118"/>
      <c r="I315" s="65"/>
      <c r="J315" s="30"/>
      <c r="K315" s="30"/>
      <c r="L315" s="30"/>
      <c r="M315" s="30"/>
    </row>
    <row r="316" spans="1:13" s="68" customFormat="1" ht="17.25" customHeight="1" x14ac:dyDescent="0.35">
      <c r="A316" s="116" t="s">
        <v>683</v>
      </c>
      <c r="B316" s="117" t="s">
        <v>684</v>
      </c>
      <c r="C316" s="117" t="s">
        <v>58</v>
      </c>
      <c r="D316" s="117"/>
      <c r="E316" s="117"/>
      <c r="F316" s="117"/>
      <c r="G316" s="117" t="s">
        <v>591</v>
      </c>
      <c r="H316" s="118"/>
      <c r="I316" s="65">
        <v>65959</v>
      </c>
      <c r="J316" s="30"/>
      <c r="K316" s="30"/>
      <c r="L316" s="30"/>
      <c r="M316" s="30"/>
    </row>
    <row r="317" spans="1:13" s="68" customFormat="1" ht="17.25" customHeight="1" x14ac:dyDescent="0.35">
      <c r="A317" s="116"/>
      <c r="B317" s="117"/>
      <c r="C317" s="117"/>
      <c r="D317" s="117" t="s">
        <v>36</v>
      </c>
      <c r="E317" s="117">
        <v>2</v>
      </c>
      <c r="F317" s="117">
        <v>16</v>
      </c>
      <c r="G317" s="117"/>
      <c r="H317" s="118"/>
      <c r="I317" s="65" t="s">
        <v>685</v>
      </c>
      <c r="J317" s="30"/>
      <c r="K317" s="30"/>
      <c r="L317" s="30"/>
      <c r="M317" s="30"/>
    </row>
    <row r="318" spans="1:13" s="68" customFormat="1" ht="17.25" customHeight="1" x14ac:dyDescent="0.35">
      <c r="A318" s="116" t="s">
        <v>686</v>
      </c>
      <c r="B318" s="117" t="s">
        <v>330</v>
      </c>
      <c r="C318" s="117" t="s">
        <v>58</v>
      </c>
      <c r="D318" s="117"/>
      <c r="E318" s="117"/>
      <c r="F318" s="117"/>
      <c r="G318" s="117" t="s">
        <v>591</v>
      </c>
      <c r="H318" s="118"/>
      <c r="I318" s="65">
        <v>69750</v>
      </c>
      <c r="J318" s="30"/>
      <c r="K318" s="30"/>
      <c r="L318" s="30"/>
      <c r="M318" s="30"/>
    </row>
    <row r="319" spans="1:13" s="68" customFormat="1" ht="17.25" customHeight="1" x14ac:dyDescent="0.35">
      <c r="A319" s="116"/>
      <c r="B319" s="117"/>
      <c r="C319" s="117"/>
      <c r="D319" s="117" t="s">
        <v>36</v>
      </c>
      <c r="E319" s="117">
        <v>1</v>
      </c>
      <c r="F319" s="117">
        <v>7</v>
      </c>
      <c r="G319" s="117"/>
      <c r="H319" s="118"/>
      <c r="I319" s="65" t="s">
        <v>211</v>
      </c>
      <c r="J319" s="30"/>
      <c r="K319" s="30"/>
      <c r="L319" s="30"/>
      <c r="M319" s="30"/>
    </row>
    <row r="320" spans="1:13" s="68" customFormat="1" ht="17.25" customHeight="1" x14ac:dyDescent="0.35">
      <c r="A320" s="116"/>
      <c r="B320" s="117"/>
      <c r="C320" s="117"/>
      <c r="D320" s="117" t="s">
        <v>36</v>
      </c>
      <c r="E320" s="117">
        <v>1</v>
      </c>
      <c r="F320" s="117">
        <v>0</v>
      </c>
      <c r="G320" s="117"/>
      <c r="H320" s="118"/>
      <c r="I320" s="65" t="s">
        <v>331</v>
      </c>
      <c r="J320" s="30"/>
      <c r="K320" s="30"/>
      <c r="L320" s="30"/>
      <c r="M320" s="30"/>
    </row>
    <row r="321" spans="1:13" s="68" customFormat="1" ht="17.25" customHeight="1" x14ac:dyDescent="0.35">
      <c r="A321" s="116"/>
      <c r="B321" s="117"/>
      <c r="C321" s="117"/>
      <c r="D321" s="117" t="s">
        <v>36</v>
      </c>
      <c r="E321" s="117">
        <v>1</v>
      </c>
      <c r="F321" s="117">
        <v>2</v>
      </c>
      <c r="G321" s="117"/>
      <c r="H321" s="118"/>
      <c r="I321" s="65" t="s">
        <v>332</v>
      </c>
      <c r="J321" s="30"/>
      <c r="K321" s="30"/>
      <c r="L321" s="30"/>
      <c r="M321" s="30"/>
    </row>
    <row r="322" spans="1:13" s="68" customFormat="1" ht="17.25" customHeight="1" x14ac:dyDescent="0.35">
      <c r="A322" s="116"/>
      <c r="B322" s="117"/>
      <c r="C322" s="117"/>
      <c r="D322" s="117" t="s">
        <v>36</v>
      </c>
      <c r="E322" s="117">
        <v>4</v>
      </c>
      <c r="F322" s="117">
        <v>0</v>
      </c>
      <c r="G322" s="117"/>
      <c r="H322" s="118"/>
      <c r="I322" s="65" t="s">
        <v>887</v>
      </c>
      <c r="J322" s="30"/>
      <c r="K322" s="30"/>
      <c r="L322" s="30"/>
      <c r="M322" s="30"/>
    </row>
    <row r="323" spans="1:13" s="68" customFormat="1" ht="17.25" customHeight="1" x14ac:dyDescent="0.35">
      <c r="A323" s="116"/>
      <c r="B323" s="117"/>
      <c r="C323" s="117"/>
      <c r="D323" s="117" t="s">
        <v>36</v>
      </c>
      <c r="E323" s="117">
        <v>1</v>
      </c>
      <c r="F323" s="117">
        <v>0</v>
      </c>
      <c r="G323" s="117"/>
      <c r="H323" s="118"/>
      <c r="I323" s="65" t="s">
        <v>888</v>
      </c>
      <c r="J323" s="30"/>
      <c r="K323" s="30"/>
      <c r="L323" s="30"/>
      <c r="M323" s="30"/>
    </row>
    <row r="324" spans="1:13" s="68" customFormat="1" ht="17.25" customHeight="1" x14ac:dyDescent="0.35">
      <c r="A324" s="116"/>
      <c r="B324" s="117"/>
      <c r="C324" s="117"/>
      <c r="D324" s="117" t="s">
        <v>36</v>
      </c>
      <c r="E324" s="117">
        <v>1</v>
      </c>
      <c r="F324" s="117">
        <v>0</v>
      </c>
      <c r="G324" s="117"/>
      <c r="H324" s="118"/>
      <c r="I324" s="65" t="s">
        <v>889</v>
      </c>
      <c r="J324" s="30"/>
      <c r="K324" s="30"/>
      <c r="L324" s="30"/>
      <c r="M324" s="30"/>
    </row>
    <row r="325" spans="1:13" s="68" customFormat="1" ht="17.25" customHeight="1" x14ac:dyDescent="0.35">
      <c r="A325" s="116"/>
      <c r="B325" s="117"/>
      <c r="C325" s="117"/>
      <c r="D325" s="117" t="s">
        <v>36</v>
      </c>
      <c r="E325" s="117">
        <v>1</v>
      </c>
      <c r="F325" s="117">
        <v>5</v>
      </c>
      <c r="G325" s="117"/>
      <c r="H325" s="118"/>
      <c r="I325" s="65" t="s">
        <v>890</v>
      </c>
      <c r="J325" s="30"/>
      <c r="K325" s="30"/>
      <c r="L325" s="30"/>
      <c r="M325" s="30"/>
    </row>
    <row r="326" spans="1:13" ht="17.25" x14ac:dyDescent="0.35">
      <c r="A326" s="138"/>
      <c r="B326" s="139"/>
      <c r="C326" s="140"/>
      <c r="D326" s="139" t="s">
        <v>36</v>
      </c>
      <c r="E326" s="139">
        <v>1</v>
      </c>
      <c r="F326" s="139"/>
      <c r="G326" s="140"/>
      <c r="H326" s="141"/>
      <c r="I326" s="142" t="s">
        <v>944</v>
      </c>
    </row>
    <row r="327" spans="1:13" ht="17.25" x14ac:dyDescent="0.35">
      <c r="A327" s="138"/>
      <c r="B327" s="139"/>
      <c r="C327" s="140"/>
      <c r="D327" s="139" t="s">
        <v>37</v>
      </c>
      <c r="E327" s="139">
        <v>128</v>
      </c>
      <c r="F327" s="139"/>
      <c r="G327" s="140"/>
      <c r="H327" s="141"/>
      <c r="I327" s="142" t="s">
        <v>945</v>
      </c>
    </row>
    <row r="328" spans="1:13" ht="17.25" x14ac:dyDescent="0.35">
      <c r="A328" s="138"/>
      <c r="B328" s="139"/>
      <c r="C328" s="140"/>
      <c r="D328" s="139" t="s">
        <v>36</v>
      </c>
      <c r="E328" s="139">
        <v>1</v>
      </c>
      <c r="F328" s="139"/>
      <c r="G328" s="140"/>
      <c r="H328" s="141"/>
      <c r="I328" s="142" t="s">
        <v>946</v>
      </c>
    </row>
    <row r="329" spans="1:13" ht="17.25" x14ac:dyDescent="0.35">
      <c r="A329" s="138"/>
      <c r="B329" s="139"/>
      <c r="C329" s="140"/>
      <c r="D329" s="139" t="s">
        <v>36</v>
      </c>
      <c r="E329" s="139">
        <v>1</v>
      </c>
      <c r="F329" s="139">
        <v>1</v>
      </c>
      <c r="G329" s="140"/>
      <c r="H329" s="141"/>
      <c r="I329" s="142" t="s">
        <v>947</v>
      </c>
    </row>
    <row r="330" spans="1:13" ht="17.25" x14ac:dyDescent="0.35">
      <c r="A330" s="138"/>
      <c r="B330" s="139"/>
      <c r="C330" s="140"/>
      <c r="D330" s="139" t="s">
        <v>36</v>
      </c>
      <c r="E330" s="139">
        <v>1</v>
      </c>
      <c r="F330" s="143">
        <v>1</v>
      </c>
      <c r="G330" s="140"/>
      <c r="H330" s="141"/>
      <c r="I330" s="142" t="s">
        <v>948</v>
      </c>
    </row>
    <row r="331" spans="1:13" ht="17.25" x14ac:dyDescent="0.35">
      <c r="A331" s="138"/>
      <c r="B331" s="139"/>
      <c r="C331" s="140"/>
      <c r="D331" s="139" t="s">
        <v>37</v>
      </c>
      <c r="E331" s="139">
        <v>370</v>
      </c>
      <c r="F331" s="139"/>
      <c r="G331" s="140"/>
      <c r="H331" s="141"/>
      <c r="I331" s="142" t="s">
        <v>222</v>
      </c>
    </row>
    <row r="332" spans="1:13" s="68" customFormat="1" ht="17.25" customHeight="1" x14ac:dyDescent="0.35">
      <c r="A332" s="116"/>
      <c r="B332" s="117"/>
      <c r="C332" s="117"/>
      <c r="D332" s="117"/>
      <c r="E332" s="117"/>
      <c r="F332" s="117"/>
      <c r="G332" s="117"/>
      <c r="H332" s="118"/>
      <c r="I332" s="65"/>
      <c r="J332" s="30"/>
      <c r="K332" s="30"/>
      <c r="L332" s="30"/>
      <c r="M332" s="30"/>
    </row>
    <row r="333" spans="1:13" s="68" customFormat="1" ht="17.25" customHeight="1" x14ac:dyDescent="0.35">
      <c r="A333" s="116" t="s">
        <v>687</v>
      </c>
      <c r="B333" s="117" t="s">
        <v>688</v>
      </c>
      <c r="C333" s="117" t="s">
        <v>58</v>
      </c>
      <c r="D333" s="117"/>
      <c r="E333" s="117"/>
      <c r="F333" s="117"/>
      <c r="G333" s="117" t="s">
        <v>591</v>
      </c>
      <c r="H333" s="118"/>
      <c r="I333" s="65">
        <v>70202</v>
      </c>
      <c r="J333" s="30"/>
      <c r="K333" s="30"/>
      <c r="L333" s="30"/>
      <c r="M333" s="30"/>
    </row>
    <row r="334" spans="1:13" s="68" customFormat="1" ht="17.25" customHeight="1" x14ac:dyDescent="0.35">
      <c r="A334" s="116"/>
      <c r="B334" s="117"/>
      <c r="C334" s="117"/>
      <c r="D334" s="117" t="s">
        <v>36</v>
      </c>
      <c r="E334" s="117">
        <v>1</v>
      </c>
      <c r="F334" s="117">
        <v>1</v>
      </c>
      <c r="G334" s="117"/>
      <c r="H334" s="118"/>
      <c r="I334" s="65" t="s">
        <v>689</v>
      </c>
      <c r="J334" s="30"/>
      <c r="K334" s="30"/>
      <c r="L334" s="30"/>
      <c r="M334" s="30"/>
    </row>
    <row r="335" spans="1:13" s="68" customFormat="1" ht="17.25" customHeight="1" x14ac:dyDescent="0.35">
      <c r="A335" s="116" t="s">
        <v>191</v>
      </c>
      <c r="B335" s="117" t="s">
        <v>192</v>
      </c>
      <c r="C335" s="117" t="s">
        <v>58</v>
      </c>
      <c r="D335" s="117"/>
      <c r="E335" s="117"/>
      <c r="F335" s="117"/>
      <c r="G335" s="117" t="s">
        <v>591</v>
      </c>
      <c r="H335" s="118"/>
      <c r="I335" s="65">
        <v>65955</v>
      </c>
      <c r="J335" s="30"/>
      <c r="K335" s="30"/>
      <c r="L335" s="30"/>
      <c r="M335" s="30"/>
    </row>
    <row r="336" spans="1:13" s="68" customFormat="1" ht="17.25" customHeight="1" x14ac:dyDescent="0.35">
      <c r="A336" s="116"/>
      <c r="B336" s="117"/>
      <c r="C336" s="117"/>
      <c r="D336" s="117" t="s">
        <v>36</v>
      </c>
      <c r="E336" s="117">
        <v>1</v>
      </c>
      <c r="F336" s="117">
        <v>1</v>
      </c>
      <c r="G336" s="117"/>
      <c r="H336" s="118"/>
      <c r="I336" s="65" t="s">
        <v>690</v>
      </c>
      <c r="J336" s="30"/>
      <c r="K336" s="30"/>
      <c r="L336" s="30"/>
      <c r="M336" s="30"/>
    </row>
    <row r="337" spans="1:13" s="68" customFormat="1" ht="17.25" customHeight="1" x14ac:dyDescent="0.35">
      <c r="A337" s="116" t="s">
        <v>193</v>
      </c>
      <c r="B337" s="117" t="s">
        <v>194</v>
      </c>
      <c r="C337" s="117" t="s">
        <v>58</v>
      </c>
      <c r="D337" s="117"/>
      <c r="E337" s="117"/>
      <c r="F337" s="117"/>
      <c r="G337" s="117" t="s">
        <v>591</v>
      </c>
      <c r="H337" s="118"/>
      <c r="I337" s="65">
        <v>65957</v>
      </c>
      <c r="J337" s="30"/>
      <c r="K337" s="30"/>
      <c r="L337" s="30"/>
      <c r="M337" s="30"/>
    </row>
    <row r="338" spans="1:13" s="68" customFormat="1" ht="17.25" customHeight="1" x14ac:dyDescent="0.35">
      <c r="A338" s="116"/>
      <c r="B338" s="117"/>
      <c r="C338" s="117"/>
      <c r="D338" s="117" t="s">
        <v>36</v>
      </c>
      <c r="E338" s="117">
        <v>1</v>
      </c>
      <c r="F338" s="117">
        <v>1</v>
      </c>
      <c r="G338" s="117"/>
      <c r="H338" s="118"/>
      <c r="I338" s="65" t="s">
        <v>691</v>
      </c>
      <c r="J338" s="30"/>
      <c r="K338" s="30"/>
      <c r="L338" s="30"/>
      <c r="M338" s="30"/>
    </row>
    <row r="339" spans="1:13" s="68" customFormat="1" ht="17.25" customHeight="1" x14ac:dyDescent="0.35">
      <c r="A339" s="116" t="s">
        <v>338</v>
      </c>
      <c r="B339" s="117" t="s">
        <v>339</v>
      </c>
      <c r="C339" s="117" t="s">
        <v>58</v>
      </c>
      <c r="D339" s="117"/>
      <c r="E339" s="117"/>
      <c r="F339" s="117"/>
      <c r="G339" s="117" t="s">
        <v>591</v>
      </c>
      <c r="H339" s="118"/>
      <c r="I339" s="65">
        <v>67194</v>
      </c>
      <c r="J339" s="30"/>
      <c r="K339" s="30"/>
      <c r="L339" s="30"/>
      <c r="M339" s="30"/>
    </row>
    <row r="340" spans="1:13" s="68" customFormat="1" ht="17.25" customHeight="1" x14ac:dyDescent="0.35">
      <c r="A340" s="116"/>
      <c r="B340" s="117"/>
      <c r="C340" s="117"/>
      <c r="D340" s="117" t="s">
        <v>36</v>
      </c>
      <c r="E340" s="117">
        <v>4</v>
      </c>
      <c r="F340" s="117">
        <v>20</v>
      </c>
      <c r="G340" s="117"/>
      <c r="H340" s="118"/>
      <c r="I340" s="65" t="s">
        <v>340</v>
      </c>
      <c r="J340" s="30"/>
      <c r="K340" s="30"/>
      <c r="L340" s="30"/>
      <c r="M340" s="30"/>
    </row>
    <row r="341" spans="1:13" s="68" customFormat="1" ht="17.25" customHeight="1" x14ac:dyDescent="0.35">
      <c r="A341" s="116" t="s">
        <v>341</v>
      </c>
      <c r="B341" s="117" t="s">
        <v>342</v>
      </c>
      <c r="C341" s="117" t="s">
        <v>58</v>
      </c>
      <c r="D341" s="117"/>
      <c r="E341" s="117"/>
      <c r="F341" s="117"/>
      <c r="G341" s="117" t="s">
        <v>591</v>
      </c>
      <c r="H341" s="118"/>
      <c r="I341" s="65">
        <v>67195</v>
      </c>
      <c r="J341" s="30"/>
      <c r="K341" s="30"/>
      <c r="L341" s="30"/>
      <c r="M341" s="30"/>
    </row>
    <row r="342" spans="1:13" s="68" customFormat="1" ht="17.25" customHeight="1" x14ac:dyDescent="0.35">
      <c r="A342" s="116"/>
      <c r="B342" s="117"/>
      <c r="C342" s="117"/>
      <c r="D342" s="117" t="s">
        <v>36</v>
      </c>
      <c r="E342" s="117">
        <v>4</v>
      </c>
      <c r="F342" s="117">
        <v>5</v>
      </c>
      <c r="G342" s="117"/>
      <c r="H342" s="118"/>
      <c r="I342" s="65" t="s">
        <v>692</v>
      </c>
      <c r="J342" s="30"/>
      <c r="K342" s="30"/>
      <c r="L342" s="30"/>
      <c r="M342" s="30"/>
    </row>
    <row r="343" spans="1:13" s="68" customFormat="1" ht="17.25" customHeight="1" x14ac:dyDescent="0.35">
      <c r="A343" s="116" t="s">
        <v>159</v>
      </c>
      <c r="B343" s="117" t="s">
        <v>160</v>
      </c>
      <c r="C343" s="117" t="s">
        <v>58</v>
      </c>
      <c r="D343" s="117"/>
      <c r="E343" s="117"/>
      <c r="F343" s="117"/>
      <c r="G343" s="117" t="s">
        <v>591</v>
      </c>
      <c r="H343" s="118"/>
      <c r="I343" s="65">
        <v>67199</v>
      </c>
      <c r="J343" s="30"/>
      <c r="K343" s="30"/>
      <c r="L343" s="30"/>
      <c r="M343" s="30"/>
    </row>
    <row r="344" spans="1:13" s="68" customFormat="1" ht="17.25" customHeight="1" x14ac:dyDescent="0.35">
      <c r="A344" s="116"/>
      <c r="B344" s="117"/>
      <c r="C344" s="117"/>
      <c r="D344" s="117" t="s">
        <v>36</v>
      </c>
      <c r="E344" s="117">
        <v>1</v>
      </c>
      <c r="F344" s="117">
        <v>1</v>
      </c>
      <c r="G344" s="117"/>
      <c r="H344" s="118"/>
      <c r="I344" s="65" t="s">
        <v>693</v>
      </c>
      <c r="J344" s="30"/>
      <c r="K344" s="30"/>
      <c r="L344" s="30"/>
      <c r="M344" s="30"/>
    </row>
    <row r="345" spans="1:13" s="68" customFormat="1" ht="17.25" customHeight="1" x14ac:dyDescent="0.35">
      <c r="A345" s="116" t="s">
        <v>205</v>
      </c>
      <c r="B345" s="117" t="s">
        <v>206</v>
      </c>
      <c r="C345" s="117" t="s">
        <v>58</v>
      </c>
      <c r="D345" s="117"/>
      <c r="E345" s="117"/>
      <c r="F345" s="117"/>
      <c r="G345" s="117" t="s">
        <v>591</v>
      </c>
      <c r="H345" s="118"/>
      <c r="I345" s="65">
        <v>67280</v>
      </c>
      <c r="J345" s="30"/>
      <c r="K345" s="30"/>
      <c r="L345" s="30"/>
      <c r="M345" s="30"/>
    </row>
    <row r="346" spans="1:13" s="68" customFormat="1" ht="17.25" customHeight="1" x14ac:dyDescent="0.35">
      <c r="A346" s="116"/>
      <c r="B346" s="117"/>
      <c r="C346" s="117"/>
      <c r="D346" s="117" t="s">
        <v>36</v>
      </c>
      <c r="E346" s="117">
        <v>4</v>
      </c>
      <c r="F346" s="117">
        <v>130000</v>
      </c>
      <c r="G346" s="117"/>
      <c r="H346" s="118"/>
      <c r="I346" s="65" t="s">
        <v>694</v>
      </c>
      <c r="J346" s="30"/>
      <c r="K346" s="30"/>
      <c r="L346" s="30"/>
      <c r="M346" s="30"/>
    </row>
    <row r="347" spans="1:13" s="68" customFormat="1" ht="17.25" customHeight="1" x14ac:dyDescent="0.35">
      <c r="A347" s="116" t="s">
        <v>207</v>
      </c>
      <c r="B347" s="117" t="s">
        <v>208</v>
      </c>
      <c r="C347" s="117" t="s">
        <v>58</v>
      </c>
      <c r="D347" s="117"/>
      <c r="E347" s="117"/>
      <c r="F347" s="117"/>
      <c r="G347" s="117" t="s">
        <v>591</v>
      </c>
      <c r="H347" s="118"/>
      <c r="I347" s="65">
        <v>67281</v>
      </c>
      <c r="J347" s="30"/>
      <c r="K347" s="30"/>
      <c r="L347" s="30"/>
      <c r="M347" s="30"/>
    </row>
    <row r="348" spans="1:13" s="68" customFormat="1" ht="17.25" customHeight="1" x14ac:dyDescent="0.35">
      <c r="A348" s="116"/>
      <c r="B348" s="117"/>
      <c r="C348" s="117"/>
      <c r="D348" s="117" t="s">
        <v>36</v>
      </c>
      <c r="E348" s="117">
        <v>4</v>
      </c>
      <c r="F348" s="117">
        <v>130000</v>
      </c>
      <c r="G348" s="117"/>
      <c r="H348" s="118"/>
      <c r="I348" s="65" t="s">
        <v>695</v>
      </c>
      <c r="J348" s="30"/>
      <c r="K348" s="30"/>
      <c r="L348" s="30"/>
      <c r="M348" s="30"/>
    </row>
    <row r="349" spans="1:13" s="68" customFormat="1" ht="17.25" customHeight="1" x14ac:dyDescent="0.35">
      <c r="A349" s="116" t="s">
        <v>537</v>
      </c>
      <c r="B349" s="117" t="s">
        <v>538</v>
      </c>
      <c r="C349" s="117" t="s">
        <v>58</v>
      </c>
      <c r="D349" s="117"/>
      <c r="E349" s="117"/>
      <c r="F349" s="117"/>
      <c r="G349" s="117" t="s">
        <v>591</v>
      </c>
      <c r="H349" s="118"/>
      <c r="I349" s="65">
        <v>67282</v>
      </c>
      <c r="J349" s="30"/>
      <c r="K349" s="30"/>
      <c r="L349" s="30"/>
      <c r="M349" s="30"/>
    </row>
    <row r="350" spans="1:13" s="68" customFormat="1" ht="17.25" customHeight="1" x14ac:dyDescent="0.35">
      <c r="A350" s="116"/>
      <c r="B350" s="117"/>
      <c r="C350" s="117"/>
      <c r="D350" s="117" t="s">
        <v>36</v>
      </c>
      <c r="E350" s="117">
        <v>4</v>
      </c>
      <c r="F350" s="117">
        <v>20</v>
      </c>
      <c r="G350" s="117"/>
      <c r="H350" s="118"/>
      <c r="I350" s="65" t="s">
        <v>696</v>
      </c>
      <c r="J350" s="30"/>
      <c r="K350" s="30"/>
      <c r="L350" s="30"/>
      <c r="M350" s="30"/>
    </row>
    <row r="351" spans="1:13" s="68" customFormat="1" ht="17.25" customHeight="1" x14ac:dyDescent="0.35">
      <c r="A351" s="116" t="s">
        <v>195</v>
      </c>
      <c r="B351" s="117" t="s">
        <v>196</v>
      </c>
      <c r="C351" s="117" t="s">
        <v>58</v>
      </c>
      <c r="D351" s="117"/>
      <c r="E351" s="117"/>
      <c r="F351" s="117"/>
      <c r="G351" s="117" t="s">
        <v>591</v>
      </c>
      <c r="H351" s="118"/>
      <c r="I351" s="65">
        <v>65964</v>
      </c>
      <c r="J351" s="30"/>
      <c r="K351" s="30"/>
      <c r="L351" s="30"/>
      <c r="M351" s="30"/>
    </row>
    <row r="352" spans="1:13" s="68" customFormat="1" ht="17.25" customHeight="1" x14ac:dyDescent="0.35">
      <c r="A352" s="116"/>
      <c r="B352" s="117"/>
      <c r="C352" s="117"/>
      <c r="D352" s="117" t="s">
        <v>36</v>
      </c>
      <c r="E352" s="117">
        <v>1</v>
      </c>
      <c r="F352" s="117">
        <v>1</v>
      </c>
      <c r="G352" s="117"/>
      <c r="H352" s="118"/>
      <c r="I352" s="65" t="s">
        <v>697</v>
      </c>
      <c r="J352" s="30"/>
      <c r="K352" s="30"/>
      <c r="L352" s="30"/>
      <c r="M352" s="30"/>
    </row>
    <row r="353" spans="1:13" s="68" customFormat="1" ht="17.25" customHeight="1" x14ac:dyDescent="0.35">
      <c r="A353" s="116" t="s">
        <v>698</v>
      </c>
      <c r="B353" s="117" t="s">
        <v>699</v>
      </c>
      <c r="C353" s="117" t="s">
        <v>58</v>
      </c>
      <c r="D353" s="117"/>
      <c r="E353" s="117"/>
      <c r="F353" s="117"/>
      <c r="G353" s="117" t="s">
        <v>591</v>
      </c>
      <c r="H353" s="118"/>
      <c r="I353" s="65">
        <v>65960</v>
      </c>
      <c r="J353" s="30"/>
      <c r="K353" s="30"/>
      <c r="L353" s="30"/>
      <c r="M353" s="30"/>
    </row>
    <row r="354" spans="1:13" s="68" customFormat="1" ht="17.25" customHeight="1" x14ac:dyDescent="0.35">
      <c r="A354" s="116"/>
      <c r="B354" s="117"/>
      <c r="C354" s="117"/>
      <c r="D354" s="117" t="s">
        <v>36</v>
      </c>
      <c r="E354" s="117">
        <v>1</v>
      </c>
      <c r="F354" s="117">
        <v>1</v>
      </c>
      <c r="G354" s="117"/>
      <c r="H354" s="118"/>
      <c r="I354" s="65" t="s">
        <v>700</v>
      </c>
      <c r="J354" s="30"/>
      <c r="K354" s="30"/>
      <c r="L354" s="30"/>
      <c r="M354" s="30"/>
    </row>
    <row r="355" spans="1:13" s="68" customFormat="1" ht="17.25" customHeight="1" x14ac:dyDescent="0.35">
      <c r="A355" s="116" t="s">
        <v>203</v>
      </c>
      <c r="B355" s="117" t="s">
        <v>204</v>
      </c>
      <c r="C355" s="117" t="s">
        <v>58</v>
      </c>
      <c r="D355" s="117"/>
      <c r="E355" s="117"/>
      <c r="F355" s="117"/>
      <c r="G355" s="117" t="s">
        <v>591</v>
      </c>
      <c r="H355" s="118"/>
      <c r="I355" s="65">
        <v>66031</v>
      </c>
      <c r="J355" s="30"/>
      <c r="K355" s="30"/>
      <c r="L355" s="30"/>
      <c r="M355" s="30"/>
    </row>
    <row r="356" spans="1:13" s="68" customFormat="1" ht="17.25" customHeight="1" x14ac:dyDescent="0.35">
      <c r="A356" s="116"/>
      <c r="B356" s="117"/>
      <c r="C356" s="117"/>
      <c r="D356" s="117" t="s">
        <v>36</v>
      </c>
      <c r="E356" s="117">
        <v>4</v>
      </c>
      <c r="F356" s="117">
        <v>0</v>
      </c>
      <c r="G356" s="117"/>
      <c r="H356" s="118"/>
      <c r="I356" s="65" t="s">
        <v>701</v>
      </c>
      <c r="J356" s="30"/>
      <c r="K356" s="30"/>
      <c r="L356" s="30"/>
      <c r="M356" s="30"/>
    </row>
    <row r="357" spans="1:13" s="68" customFormat="1" ht="17.25" customHeight="1" x14ac:dyDescent="0.35">
      <c r="A357" s="116" t="s">
        <v>197</v>
      </c>
      <c r="B357" s="117" t="s">
        <v>198</v>
      </c>
      <c r="C357" s="117" t="s">
        <v>58</v>
      </c>
      <c r="D357" s="117"/>
      <c r="E357" s="117"/>
      <c r="F357" s="117"/>
      <c r="G357" s="117" t="s">
        <v>591</v>
      </c>
      <c r="H357" s="118"/>
      <c r="I357" s="65">
        <v>67239</v>
      </c>
      <c r="J357" s="30"/>
      <c r="K357" s="30"/>
      <c r="L357" s="30"/>
      <c r="M357" s="30"/>
    </row>
    <row r="358" spans="1:13" s="68" customFormat="1" ht="17.25" customHeight="1" x14ac:dyDescent="0.35">
      <c r="A358" s="116"/>
      <c r="B358" s="117"/>
      <c r="C358" s="117"/>
      <c r="D358" s="117" t="s">
        <v>36</v>
      </c>
      <c r="E358" s="117">
        <v>4</v>
      </c>
      <c r="F358" s="117">
        <v>0</v>
      </c>
      <c r="G358" s="117"/>
      <c r="H358" s="118"/>
      <c r="I358" s="65" t="s">
        <v>702</v>
      </c>
      <c r="J358" s="30"/>
      <c r="K358" s="30"/>
      <c r="L358" s="30"/>
      <c r="M358" s="30"/>
    </row>
    <row r="359" spans="1:13" s="68" customFormat="1" ht="17.25" customHeight="1" x14ac:dyDescent="0.35">
      <c r="A359" s="116" t="s">
        <v>199</v>
      </c>
      <c r="B359" s="117" t="s">
        <v>200</v>
      </c>
      <c r="C359" s="117" t="s">
        <v>58</v>
      </c>
      <c r="D359" s="117"/>
      <c r="E359" s="117"/>
      <c r="F359" s="117"/>
      <c r="G359" s="117" t="s">
        <v>591</v>
      </c>
      <c r="H359" s="118"/>
      <c r="I359" s="65">
        <v>67240</v>
      </c>
      <c r="J359" s="30"/>
      <c r="K359" s="30"/>
      <c r="L359" s="30"/>
      <c r="M359" s="30"/>
    </row>
    <row r="360" spans="1:13" s="68" customFormat="1" ht="17.25" customHeight="1" x14ac:dyDescent="0.35">
      <c r="A360" s="116"/>
      <c r="B360" s="117"/>
      <c r="C360" s="117"/>
      <c r="D360" s="117" t="s">
        <v>36</v>
      </c>
      <c r="E360" s="117">
        <v>1</v>
      </c>
      <c r="F360" s="117">
        <v>0</v>
      </c>
      <c r="G360" s="117"/>
      <c r="H360" s="118"/>
      <c r="I360" s="65" t="s">
        <v>703</v>
      </c>
      <c r="J360" s="30"/>
      <c r="K360" s="30"/>
      <c r="L360" s="30"/>
      <c r="M360" s="30"/>
    </row>
    <row r="361" spans="1:13" s="68" customFormat="1" ht="17.25" customHeight="1" x14ac:dyDescent="0.35">
      <c r="A361" s="116" t="s">
        <v>201</v>
      </c>
      <c r="B361" s="117" t="s">
        <v>202</v>
      </c>
      <c r="C361" s="117" t="s">
        <v>58</v>
      </c>
      <c r="D361" s="117"/>
      <c r="E361" s="117"/>
      <c r="F361" s="117"/>
      <c r="G361" s="117" t="s">
        <v>591</v>
      </c>
      <c r="H361" s="118"/>
      <c r="I361" s="65">
        <v>67241</v>
      </c>
      <c r="J361" s="30"/>
      <c r="K361" s="30"/>
      <c r="L361" s="30"/>
      <c r="M361" s="30"/>
    </row>
    <row r="362" spans="1:13" s="68" customFormat="1" ht="17.25" customHeight="1" x14ac:dyDescent="0.35">
      <c r="A362" s="116"/>
      <c r="B362" s="117"/>
      <c r="C362" s="117"/>
      <c r="D362" s="117" t="s">
        <v>36</v>
      </c>
      <c r="E362" s="117">
        <v>1</v>
      </c>
      <c r="F362" s="117">
        <v>0</v>
      </c>
      <c r="G362" s="117"/>
      <c r="H362" s="118"/>
      <c r="I362" s="65" t="s">
        <v>704</v>
      </c>
      <c r="J362" s="30"/>
      <c r="K362" s="30"/>
      <c r="L362" s="30"/>
      <c r="M362" s="30"/>
    </row>
    <row r="363" spans="1:13" s="68" customFormat="1" ht="17.25" customHeight="1" x14ac:dyDescent="0.35">
      <c r="A363" s="116" t="s">
        <v>705</v>
      </c>
      <c r="B363" s="117" t="s">
        <v>706</v>
      </c>
      <c r="C363" s="117" t="s">
        <v>58</v>
      </c>
      <c r="D363" s="117"/>
      <c r="E363" s="117"/>
      <c r="F363" s="117"/>
      <c r="G363" s="117" t="s">
        <v>591</v>
      </c>
      <c r="H363" s="118"/>
      <c r="I363" s="65">
        <v>70213</v>
      </c>
      <c r="J363" s="30"/>
      <c r="K363" s="30"/>
      <c r="L363" s="30"/>
      <c r="M363" s="30"/>
    </row>
    <row r="364" spans="1:13" s="68" customFormat="1" ht="17.25" customHeight="1" x14ac:dyDescent="0.35">
      <c r="A364" s="116"/>
      <c r="B364" s="117"/>
      <c r="C364" s="117"/>
      <c r="D364" s="117" t="s">
        <v>36</v>
      </c>
      <c r="E364" s="117">
        <v>2</v>
      </c>
      <c r="F364" s="117">
        <v>-115</v>
      </c>
      <c r="G364" s="117"/>
      <c r="H364" s="118"/>
      <c r="I364" s="65" t="s">
        <v>705</v>
      </c>
      <c r="J364" s="30"/>
      <c r="K364" s="30"/>
      <c r="L364" s="30"/>
      <c r="M364" s="30"/>
    </row>
    <row r="365" spans="1:13" s="68" customFormat="1" ht="17.25" customHeight="1" x14ac:dyDescent="0.35">
      <c r="A365" s="116" t="s">
        <v>707</v>
      </c>
      <c r="B365" s="117" t="s">
        <v>708</v>
      </c>
      <c r="C365" s="117" t="s">
        <v>58</v>
      </c>
      <c r="D365" s="117"/>
      <c r="E365" s="117"/>
      <c r="F365" s="117"/>
      <c r="G365" s="117" t="s">
        <v>591</v>
      </c>
      <c r="H365" s="118"/>
      <c r="I365" s="100">
        <v>70291</v>
      </c>
      <c r="J365" s="30"/>
      <c r="K365" s="30"/>
      <c r="L365" s="30"/>
      <c r="M365" s="30"/>
    </row>
    <row r="366" spans="1:13" s="68" customFormat="1" ht="17.25" customHeight="1" x14ac:dyDescent="0.35">
      <c r="A366" s="116"/>
      <c r="B366" s="117"/>
      <c r="C366" s="117"/>
      <c r="D366" s="117" t="s">
        <v>36</v>
      </c>
      <c r="E366" s="117">
        <v>1</v>
      </c>
      <c r="F366" s="117">
        <v>2</v>
      </c>
      <c r="G366" s="117"/>
      <c r="H366" s="118"/>
      <c r="I366" s="100" t="s">
        <v>211</v>
      </c>
      <c r="J366" s="30"/>
      <c r="K366" s="30"/>
      <c r="L366" s="30"/>
      <c r="M366" s="30"/>
    </row>
    <row r="367" spans="1:13" s="68" customFormat="1" ht="17.25" customHeight="1" x14ac:dyDescent="0.35">
      <c r="A367" s="116"/>
      <c r="B367" s="117"/>
      <c r="C367" s="117"/>
      <c r="D367" s="117" t="s">
        <v>36</v>
      </c>
      <c r="E367" s="117">
        <v>1</v>
      </c>
      <c r="F367" s="117">
        <v>1</v>
      </c>
      <c r="G367" s="117"/>
      <c r="H367" s="118"/>
      <c r="I367" s="100" t="s">
        <v>709</v>
      </c>
      <c r="J367" s="30"/>
      <c r="K367" s="30"/>
      <c r="L367" s="30"/>
      <c r="M367" s="30"/>
    </row>
    <row r="368" spans="1:13" s="68" customFormat="1" ht="17.25" customHeight="1" x14ac:dyDescent="0.35">
      <c r="A368" s="116"/>
      <c r="B368" s="117"/>
      <c r="C368" s="117"/>
      <c r="D368" s="117" t="s">
        <v>36</v>
      </c>
      <c r="E368" s="117">
        <v>1</v>
      </c>
      <c r="F368" s="117">
        <v>0</v>
      </c>
      <c r="G368" s="117"/>
      <c r="H368" s="118"/>
      <c r="I368" s="100" t="s">
        <v>710</v>
      </c>
      <c r="J368" s="30"/>
      <c r="K368" s="30"/>
      <c r="L368" s="30"/>
      <c r="M368" s="30"/>
    </row>
    <row r="369" spans="1:13" s="68" customFormat="1" ht="17.25" customHeight="1" x14ac:dyDescent="0.35">
      <c r="A369" s="116"/>
      <c r="B369" s="117"/>
      <c r="C369" s="117"/>
      <c r="D369" s="117" t="s">
        <v>36</v>
      </c>
      <c r="E369" s="117">
        <v>2</v>
      </c>
      <c r="F369" s="117">
        <v>0</v>
      </c>
      <c r="G369" s="117"/>
      <c r="H369" s="118"/>
      <c r="I369" s="100" t="s">
        <v>711</v>
      </c>
      <c r="J369" s="30"/>
      <c r="K369" s="30"/>
      <c r="L369" s="30"/>
      <c r="M369" s="30"/>
    </row>
    <row r="370" spans="1:13" s="68" customFormat="1" ht="17.25" customHeight="1" x14ac:dyDescent="0.35">
      <c r="A370" s="116"/>
      <c r="B370" s="117"/>
      <c r="C370" s="117"/>
      <c r="D370" s="117" t="s">
        <v>36</v>
      </c>
      <c r="E370" s="117">
        <v>1</v>
      </c>
      <c r="F370" s="117">
        <v>0</v>
      </c>
      <c r="G370" s="117"/>
      <c r="H370" s="118"/>
      <c r="I370" s="100" t="s">
        <v>712</v>
      </c>
      <c r="J370" s="30"/>
      <c r="K370" s="30"/>
      <c r="L370" s="30"/>
      <c r="M370" s="30"/>
    </row>
    <row r="371" spans="1:13" s="68" customFormat="1" ht="17.25" customHeight="1" x14ac:dyDescent="0.35">
      <c r="A371" s="116"/>
      <c r="B371" s="117"/>
      <c r="C371" s="117"/>
      <c r="D371" s="117" t="s">
        <v>36</v>
      </c>
      <c r="E371" s="117">
        <v>1</v>
      </c>
      <c r="F371" s="117">
        <v>0</v>
      </c>
      <c r="G371" s="117"/>
      <c r="H371" s="118"/>
      <c r="I371" s="100" t="s">
        <v>713</v>
      </c>
      <c r="J371" s="30"/>
      <c r="K371" s="30"/>
      <c r="L371" s="30"/>
      <c r="M371" s="30"/>
    </row>
    <row r="372" spans="1:13" s="68" customFormat="1" ht="17.25" customHeight="1" x14ac:dyDescent="0.35">
      <c r="A372" s="116"/>
      <c r="B372" s="117"/>
      <c r="C372" s="117"/>
      <c r="D372" s="117" t="s">
        <v>36</v>
      </c>
      <c r="E372" s="117">
        <v>1</v>
      </c>
      <c r="F372" s="117">
        <v>0</v>
      </c>
      <c r="G372" s="117"/>
      <c r="H372" s="118"/>
      <c r="I372" s="100" t="s">
        <v>714</v>
      </c>
      <c r="J372" s="30"/>
      <c r="K372" s="30"/>
      <c r="L372" s="30"/>
      <c r="M372" s="30"/>
    </row>
    <row r="373" spans="1:13" s="68" customFormat="1" ht="17.25" customHeight="1" x14ac:dyDescent="0.35">
      <c r="A373" s="116"/>
      <c r="B373" s="117"/>
      <c r="C373" s="117"/>
      <c r="D373" s="117" t="s">
        <v>36</v>
      </c>
      <c r="E373" s="117">
        <v>4</v>
      </c>
      <c r="F373" s="117">
        <v>0</v>
      </c>
      <c r="G373" s="117"/>
      <c r="H373" s="118"/>
      <c r="I373" s="100" t="s">
        <v>715</v>
      </c>
      <c r="J373" s="30"/>
      <c r="K373" s="30"/>
      <c r="L373" s="30"/>
      <c r="M373" s="30"/>
    </row>
    <row r="374" spans="1:13" s="68" customFormat="1" ht="17.25" customHeight="1" x14ac:dyDescent="0.35">
      <c r="A374" s="116"/>
      <c r="B374" s="117"/>
      <c r="C374" s="117"/>
      <c r="D374" s="117" t="s">
        <v>36</v>
      </c>
      <c r="E374" s="117">
        <v>2</v>
      </c>
      <c r="F374" s="117">
        <v>0</v>
      </c>
      <c r="G374" s="117"/>
      <c r="H374" s="118"/>
      <c r="I374" s="100" t="s">
        <v>716</v>
      </c>
      <c r="J374" s="30"/>
      <c r="K374" s="30"/>
      <c r="L374" s="30"/>
      <c r="M374" s="30"/>
    </row>
    <row r="375" spans="1:13" s="68" customFormat="1" ht="17.25" customHeight="1" x14ac:dyDescent="0.35">
      <c r="A375" s="116"/>
      <c r="B375" s="117"/>
      <c r="C375" s="117"/>
      <c r="D375" s="117" t="s">
        <v>36</v>
      </c>
      <c r="E375" s="117">
        <v>2</v>
      </c>
      <c r="F375" s="117">
        <v>0</v>
      </c>
      <c r="G375" s="117"/>
      <c r="H375" s="118"/>
      <c r="I375" s="100" t="s">
        <v>717</v>
      </c>
      <c r="J375" s="30"/>
      <c r="K375" s="30"/>
      <c r="L375" s="30"/>
      <c r="M375" s="30"/>
    </row>
    <row r="376" spans="1:13" s="68" customFormat="1" ht="17.25" customHeight="1" x14ac:dyDescent="0.35">
      <c r="A376" s="116"/>
      <c r="B376" s="117"/>
      <c r="C376" s="117"/>
      <c r="D376" s="117" t="s">
        <v>36</v>
      </c>
      <c r="E376" s="117">
        <v>2</v>
      </c>
      <c r="F376" s="117">
        <v>0</v>
      </c>
      <c r="G376" s="117"/>
      <c r="H376" s="118"/>
      <c r="I376" s="100" t="s">
        <v>718</v>
      </c>
      <c r="J376" s="30"/>
      <c r="K376" s="30"/>
      <c r="L376" s="30"/>
      <c r="M376" s="30"/>
    </row>
    <row r="377" spans="1:13" s="68" customFormat="1" ht="17.25" customHeight="1" x14ac:dyDescent="0.35">
      <c r="A377" s="116"/>
      <c r="B377" s="117"/>
      <c r="C377" s="117"/>
      <c r="D377" s="117" t="s">
        <v>36</v>
      </c>
      <c r="E377" s="117">
        <v>1</v>
      </c>
      <c r="F377" s="117">
        <v>0</v>
      </c>
      <c r="G377" s="117"/>
      <c r="H377" s="118"/>
      <c r="I377" s="100" t="s">
        <v>719</v>
      </c>
      <c r="J377" s="30"/>
      <c r="K377" s="30"/>
      <c r="L377" s="30"/>
      <c r="M377" s="30"/>
    </row>
    <row r="378" spans="1:13" s="68" customFormat="1" ht="17.25" customHeight="1" x14ac:dyDescent="0.35">
      <c r="A378" s="116"/>
      <c r="B378" s="117"/>
      <c r="C378" s="117"/>
      <c r="D378" s="117" t="s">
        <v>36</v>
      </c>
      <c r="E378" s="117">
        <v>1</v>
      </c>
      <c r="F378" s="117">
        <v>0</v>
      </c>
      <c r="G378" s="117"/>
      <c r="H378" s="118"/>
      <c r="I378" s="100" t="s">
        <v>720</v>
      </c>
      <c r="J378" s="30"/>
      <c r="K378" s="30"/>
      <c r="L378" s="30"/>
      <c r="M378" s="30"/>
    </row>
    <row r="379" spans="1:13" s="68" customFormat="1" ht="17.25" customHeight="1" x14ac:dyDescent="0.35">
      <c r="A379" s="116"/>
      <c r="B379" s="117"/>
      <c r="C379" s="117"/>
      <c r="D379" s="117" t="s">
        <v>36</v>
      </c>
      <c r="E379" s="117">
        <v>1</v>
      </c>
      <c r="F379" s="117">
        <v>0</v>
      </c>
      <c r="G379" s="117"/>
      <c r="H379" s="118"/>
      <c r="I379" s="100" t="s">
        <v>721</v>
      </c>
      <c r="J379" s="30"/>
      <c r="K379" s="30"/>
      <c r="L379" s="30"/>
      <c r="M379" s="30"/>
    </row>
    <row r="380" spans="1:13" s="68" customFormat="1" ht="17.25" customHeight="1" x14ac:dyDescent="0.35">
      <c r="A380" s="116"/>
      <c r="B380" s="117"/>
      <c r="C380" s="117"/>
      <c r="D380" s="117" t="s">
        <v>36</v>
      </c>
      <c r="E380" s="117">
        <v>2</v>
      </c>
      <c r="F380" s="117">
        <v>0</v>
      </c>
      <c r="G380" s="117"/>
      <c r="H380" s="118"/>
      <c r="I380" s="100" t="s">
        <v>722</v>
      </c>
      <c r="J380" s="30"/>
      <c r="K380" s="30"/>
      <c r="L380" s="30"/>
      <c r="M380" s="30"/>
    </row>
    <row r="381" spans="1:13" s="68" customFormat="1" ht="17.25" customHeight="1" x14ac:dyDescent="0.35">
      <c r="A381" s="116"/>
      <c r="B381" s="117"/>
      <c r="C381" s="117"/>
      <c r="D381" s="117" t="s">
        <v>36</v>
      </c>
      <c r="E381" s="117">
        <v>2</v>
      </c>
      <c r="F381" s="117">
        <v>0</v>
      </c>
      <c r="G381" s="117"/>
      <c r="H381" s="118"/>
      <c r="I381" s="100" t="s">
        <v>723</v>
      </c>
      <c r="J381" s="30"/>
      <c r="K381" s="30"/>
      <c r="L381" s="30"/>
      <c r="M381" s="30"/>
    </row>
    <row r="382" spans="1:13" s="68" customFormat="1" ht="17.25" customHeight="1" x14ac:dyDescent="0.35">
      <c r="A382" s="116"/>
      <c r="B382" s="117"/>
      <c r="C382" s="117"/>
      <c r="D382" s="117" t="s">
        <v>36</v>
      </c>
      <c r="E382" s="117">
        <v>1</v>
      </c>
      <c r="F382" s="117">
        <v>0</v>
      </c>
      <c r="G382" s="117"/>
      <c r="H382" s="118"/>
      <c r="I382" s="100" t="s">
        <v>724</v>
      </c>
      <c r="J382" s="30"/>
      <c r="K382" s="30"/>
      <c r="L382" s="30"/>
      <c r="M382" s="30"/>
    </row>
    <row r="383" spans="1:13" s="68" customFormat="1" ht="17.25" customHeight="1" x14ac:dyDescent="0.35">
      <c r="A383" s="116"/>
      <c r="B383" s="117"/>
      <c r="C383" s="117"/>
      <c r="D383" s="117" t="s">
        <v>36</v>
      </c>
      <c r="E383" s="117">
        <v>2</v>
      </c>
      <c r="F383" s="117">
        <v>0</v>
      </c>
      <c r="G383" s="117"/>
      <c r="H383" s="118"/>
      <c r="I383" s="100" t="s">
        <v>725</v>
      </c>
      <c r="J383" s="30"/>
      <c r="K383" s="30"/>
      <c r="L383" s="30"/>
      <c r="M383" s="30"/>
    </row>
    <row r="384" spans="1:13" s="68" customFormat="1" ht="17.25" customHeight="1" x14ac:dyDescent="0.35">
      <c r="A384" s="116"/>
      <c r="B384" s="117"/>
      <c r="C384" s="117"/>
      <c r="D384" s="117" t="s">
        <v>36</v>
      </c>
      <c r="E384" s="117">
        <v>2</v>
      </c>
      <c r="F384" s="117">
        <v>0</v>
      </c>
      <c r="G384" s="117"/>
      <c r="H384" s="118"/>
      <c r="I384" s="100" t="s">
        <v>726</v>
      </c>
      <c r="J384" s="30"/>
      <c r="K384" s="30"/>
      <c r="L384" s="30"/>
      <c r="M384" s="30"/>
    </row>
    <row r="385" spans="1:13" s="68" customFormat="1" ht="17.25" customHeight="1" x14ac:dyDescent="0.35">
      <c r="A385" s="116"/>
      <c r="B385" s="117"/>
      <c r="C385" s="117"/>
      <c r="D385" s="117" t="s">
        <v>36</v>
      </c>
      <c r="E385" s="117">
        <v>1</v>
      </c>
      <c r="F385" s="117">
        <v>1</v>
      </c>
      <c r="G385" s="117"/>
      <c r="H385" s="118"/>
      <c r="I385" s="100" t="s">
        <v>727</v>
      </c>
      <c r="J385" s="30"/>
      <c r="K385" s="30"/>
      <c r="L385" s="30"/>
      <c r="M385" s="30"/>
    </row>
    <row r="386" spans="1:13" s="68" customFormat="1" ht="17.25" customHeight="1" x14ac:dyDescent="0.35">
      <c r="A386" s="116"/>
      <c r="B386" s="117"/>
      <c r="C386" s="117"/>
      <c r="D386" s="117" t="s">
        <v>36</v>
      </c>
      <c r="E386" s="117">
        <v>1</v>
      </c>
      <c r="F386" s="117">
        <v>4</v>
      </c>
      <c r="G386" s="117"/>
      <c r="H386" s="118"/>
      <c r="I386" s="100" t="s">
        <v>728</v>
      </c>
      <c r="J386" s="30"/>
      <c r="K386" s="30"/>
      <c r="L386" s="30"/>
      <c r="M386" s="30"/>
    </row>
    <row r="387" spans="1:13" s="68" customFormat="1" ht="17.25" customHeight="1" x14ac:dyDescent="0.35">
      <c r="A387" s="116"/>
      <c r="B387" s="117"/>
      <c r="C387" s="117"/>
      <c r="D387" s="117" t="s">
        <v>36</v>
      </c>
      <c r="E387" s="117">
        <v>1</v>
      </c>
      <c r="F387" s="117">
        <v>7</v>
      </c>
      <c r="G387" s="117"/>
      <c r="H387" s="118"/>
      <c r="I387" s="100" t="s">
        <v>729</v>
      </c>
      <c r="J387" s="30"/>
      <c r="K387" s="30"/>
      <c r="L387" s="30"/>
      <c r="M387" s="30"/>
    </row>
    <row r="388" spans="1:13" s="68" customFormat="1" ht="17.25" customHeight="1" x14ac:dyDescent="0.35">
      <c r="A388" s="116"/>
      <c r="B388" s="117"/>
      <c r="C388" s="117"/>
      <c r="D388" s="117" t="s">
        <v>36</v>
      </c>
      <c r="E388" s="117">
        <v>4</v>
      </c>
      <c r="F388" s="117">
        <v>0</v>
      </c>
      <c r="G388" s="117"/>
      <c r="H388" s="118"/>
      <c r="I388" s="100" t="s">
        <v>730</v>
      </c>
      <c r="J388" s="30"/>
      <c r="K388" s="30"/>
      <c r="L388" s="30"/>
      <c r="M388" s="30"/>
    </row>
    <row r="389" spans="1:13" s="68" customFormat="1" ht="17.25" customHeight="1" x14ac:dyDescent="0.35">
      <c r="A389" s="116"/>
      <c r="B389" s="117"/>
      <c r="C389" s="117"/>
      <c r="D389" s="117" t="s">
        <v>36</v>
      </c>
      <c r="E389" s="117">
        <v>2</v>
      </c>
      <c r="F389" s="117">
        <v>384</v>
      </c>
      <c r="G389" s="117"/>
      <c r="H389" s="118"/>
      <c r="I389" s="100" t="s">
        <v>731</v>
      </c>
      <c r="J389" s="30"/>
      <c r="K389" s="30"/>
      <c r="L389" s="30"/>
      <c r="M389" s="30"/>
    </row>
    <row r="390" spans="1:13" s="68" customFormat="1" ht="17.25" customHeight="1" x14ac:dyDescent="0.35">
      <c r="A390" s="116"/>
      <c r="B390" s="117"/>
      <c r="C390" s="117"/>
      <c r="D390" s="117" t="s">
        <v>36</v>
      </c>
      <c r="E390" s="117">
        <v>2</v>
      </c>
      <c r="F390" s="117">
        <v>64</v>
      </c>
      <c r="G390" s="117"/>
      <c r="H390" s="118"/>
      <c r="I390" s="100" t="s">
        <v>732</v>
      </c>
      <c r="J390" s="30"/>
      <c r="K390" s="30"/>
      <c r="L390" s="30"/>
      <c r="M390" s="30"/>
    </row>
    <row r="391" spans="1:13" s="68" customFormat="1" ht="17.25" customHeight="1" x14ac:dyDescent="0.35">
      <c r="A391" s="116"/>
      <c r="B391" s="117"/>
      <c r="C391" s="117"/>
      <c r="D391" s="117" t="s">
        <v>36</v>
      </c>
      <c r="E391" s="117">
        <v>2</v>
      </c>
      <c r="F391" s="117">
        <v>384</v>
      </c>
      <c r="G391" s="117"/>
      <c r="H391" s="118"/>
      <c r="I391" s="100" t="s">
        <v>733</v>
      </c>
      <c r="J391" s="30"/>
      <c r="K391" s="30"/>
      <c r="L391" s="30"/>
      <c r="M391" s="30"/>
    </row>
    <row r="392" spans="1:13" s="68" customFormat="1" ht="17.25" customHeight="1" x14ac:dyDescent="0.35">
      <c r="A392" s="116"/>
      <c r="B392" s="117"/>
      <c r="C392" s="117"/>
      <c r="D392" s="117" t="s">
        <v>36</v>
      </c>
      <c r="E392" s="117">
        <v>1</v>
      </c>
      <c r="F392" s="117">
        <v>15</v>
      </c>
      <c r="G392" s="117"/>
      <c r="H392" s="118"/>
      <c r="I392" s="100" t="s">
        <v>734</v>
      </c>
      <c r="J392" s="30"/>
      <c r="K392" s="30"/>
      <c r="L392" s="30"/>
      <c r="M392" s="30"/>
    </row>
    <row r="393" spans="1:13" s="68" customFormat="1" ht="17.25" customHeight="1" x14ac:dyDescent="0.35">
      <c r="A393" s="116"/>
      <c r="B393" s="117"/>
      <c r="C393" s="117"/>
      <c r="D393" s="117" t="s">
        <v>36</v>
      </c>
      <c r="E393" s="117">
        <v>1</v>
      </c>
      <c r="F393" s="117">
        <v>7</v>
      </c>
      <c r="G393" s="117"/>
      <c r="H393" s="118"/>
      <c r="I393" s="100" t="s">
        <v>735</v>
      </c>
      <c r="J393" s="30"/>
      <c r="K393" s="30"/>
      <c r="L393" s="30"/>
      <c r="M393" s="30"/>
    </row>
    <row r="394" spans="1:13" s="68" customFormat="1" ht="17.25" customHeight="1" x14ac:dyDescent="0.35">
      <c r="A394" s="116"/>
      <c r="B394" s="117"/>
      <c r="C394" s="117"/>
      <c r="D394" s="117" t="s">
        <v>36</v>
      </c>
      <c r="E394" s="117">
        <v>1</v>
      </c>
      <c r="F394" s="117">
        <v>15</v>
      </c>
      <c r="G394" s="117"/>
      <c r="H394" s="118"/>
      <c r="I394" s="100" t="s">
        <v>736</v>
      </c>
      <c r="J394" s="30"/>
      <c r="K394" s="30"/>
      <c r="L394" s="30"/>
      <c r="M394" s="30"/>
    </row>
    <row r="395" spans="1:13" s="68" customFormat="1" ht="17.25" customHeight="1" x14ac:dyDescent="0.35">
      <c r="A395" s="116"/>
      <c r="B395" s="117"/>
      <c r="C395" s="117"/>
      <c r="D395" s="117" t="s">
        <v>36</v>
      </c>
      <c r="E395" s="117">
        <v>2</v>
      </c>
      <c r="F395" s="117">
        <v>0</v>
      </c>
      <c r="G395" s="117"/>
      <c r="H395" s="118"/>
      <c r="I395" s="100" t="s">
        <v>737</v>
      </c>
      <c r="J395" s="30"/>
      <c r="K395" s="30"/>
      <c r="L395" s="30"/>
      <c r="M395" s="30"/>
    </row>
    <row r="396" spans="1:13" s="68" customFormat="1" ht="17.25" customHeight="1" x14ac:dyDescent="0.35">
      <c r="A396" s="116"/>
      <c r="B396" s="117"/>
      <c r="C396" s="117"/>
      <c r="D396" s="117" t="s">
        <v>36</v>
      </c>
      <c r="E396" s="117">
        <v>2</v>
      </c>
      <c r="F396" s="117">
        <v>0</v>
      </c>
      <c r="G396" s="117"/>
      <c r="H396" s="118"/>
      <c r="I396" s="100" t="s">
        <v>738</v>
      </c>
      <c r="J396" s="30"/>
      <c r="K396" s="30"/>
      <c r="L396" s="30"/>
      <c r="M396" s="30"/>
    </row>
    <row r="397" spans="1:13" s="68" customFormat="1" ht="17.25" customHeight="1" x14ac:dyDescent="0.35">
      <c r="A397" s="116"/>
      <c r="B397" s="117"/>
      <c r="C397" s="117"/>
      <c r="D397" s="117" t="s">
        <v>36</v>
      </c>
      <c r="E397" s="117">
        <v>532</v>
      </c>
      <c r="F397" s="117"/>
      <c r="G397" s="117"/>
      <c r="H397" s="118"/>
      <c r="I397" s="100" t="s">
        <v>739</v>
      </c>
      <c r="J397" s="30"/>
      <c r="K397" s="30"/>
      <c r="L397" s="30"/>
      <c r="M397" s="30"/>
    </row>
    <row r="398" spans="1:13" s="68" customFormat="1" ht="17.25" customHeight="1" x14ac:dyDescent="0.35">
      <c r="A398" s="116" t="s">
        <v>740</v>
      </c>
      <c r="B398" s="117" t="s">
        <v>741</v>
      </c>
      <c r="C398" s="117" t="s">
        <v>58</v>
      </c>
      <c r="D398" s="117"/>
      <c r="E398" s="117"/>
      <c r="F398" s="117"/>
      <c r="G398" s="117" t="s">
        <v>591</v>
      </c>
      <c r="H398" s="118"/>
      <c r="I398" s="65">
        <v>70233</v>
      </c>
      <c r="J398" s="30"/>
      <c r="K398" s="30"/>
      <c r="L398" s="30"/>
      <c r="M398" s="30"/>
    </row>
    <row r="399" spans="1:13" s="68" customFormat="1" ht="17.25" customHeight="1" x14ac:dyDescent="0.35">
      <c r="A399" s="116"/>
      <c r="B399" s="117"/>
      <c r="C399" s="117"/>
      <c r="D399" s="117" t="s">
        <v>36</v>
      </c>
      <c r="E399" s="117">
        <v>1</v>
      </c>
      <c r="F399" s="117">
        <v>0</v>
      </c>
      <c r="G399" s="117"/>
      <c r="H399" s="118"/>
      <c r="I399" s="65" t="s">
        <v>223</v>
      </c>
      <c r="J399" s="30"/>
      <c r="K399" s="30"/>
      <c r="L399" s="30"/>
      <c r="M399" s="30"/>
    </row>
    <row r="400" spans="1:13" s="68" customFormat="1" ht="17.25" customHeight="1" x14ac:dyDescent="0.35">
      <c r="A400" s="116"/>
      <c r="B400" s="117"/>
      <c r="C400" s="117"/>
      <c r="D400" s="117" t="s">
        <v>36</v>
      </c>
      <c r="E400" s="117">
        <v>1</v>
      </c>
      <c r="F400" s="117">
        <v>1</v>
      </c>
      <c r="G400" s="117"/>
      <c r="H400" s="118"/>
      <c r="I400" s="65" t="s">
        <v>742</v>
      </c>
      <c r="J400" s="30"/>
      <c r="K400" s="30"/>
      <c r="L400" s="30"/>
      <c r="M400" s="30"/>
    </row>
    <row r="401" spans="1:13" s="68" customFormat="1" ht="17.25" customHeight="1" x14ac:dyDescent="0.35">
      <c r="A401" s="116"/>
      <c r="B401" s="117"/>
      <c r="C401" s="117"/>
      <c r="D401" s="117" t="s">
        <v>36</v>
      </c>
      <c r="E401" s="117">
        <v>1</v>
      </c>
      <c r="F401" s="117"/>
      <c r="G401" s="117"/>
      <c r="H401" s="118"/>
      <c r="I401" s="65" t="s">
        <v>743</v>
      </c>
      <c r="J401" s="30"/>
      <c r="K401" s="30"/>
      <c r="L401" s="30"/>
      <c r="M401" s="30"/>
    </row>
    <row r="402" spans="1:13" s="68" customFormat="1" ht="17.25" customHeight="1" x14ac:dyDescent="0.35">
      <c r="A402" s="116"/>
      <c r="B402" s="117"/>
      <c r="C402" s="117"/>
      <c r="D402" s="117" t="s">
        <v>37</v>
      </c>
      <c r="E402" s="117">
        <v>32</v>
      </c>
      <c r="F402" s="117"/>
      <c r="G402" s="117"/>
      <c r="H402" s="118"/>
      <c r="I402" s="65" t="s">
        <v>744</v>
      </c>
      <c r="J402" s="30"/>
      <c r="K402" s="30"/>
      <c r="L402" s="30"/>
      <c r="M402" s="30"/>
    </row>
    <row r="403" spans="1:13" s="68" customFormat="1" ht="17.25" customHeight="1" x14ac:dyDescent="0.35">
      <c r="A403" s="116"/>
      <c r="B403" s="117"/>
      <c r="C403" s="117"/>
      <c r="D403" s="117" t="s">
        <v>37</v>
      </c>
      <c r="E403" s="117">
        <v>32</v>
      </c>
      <c r="F403" s="117"/>
      <c r="G403" s="117"/>
      <c r="H403" s="118"/>
      <c r="I403" s="65" t="s">
        <v>745</v>
      </c>
      <c r="J403" s="30"/>
      <c r="K403" s="30"/>
      <c r="L403" s="30"/>
      <c r="M403" s="30"/>
    </row>
    <row r="404" spans="1:13" s="68" customFormat="1" ht="17.25" customHeight="1" x14ac:dyDescent="0.35">
      <c r="A404" s="116"/>
      <c r="B404" s="117"/>
      <c r="C404" s="117"/>
      <c r="D404" s="117" t="s">
        <v>36</v>
      </c>
      <c r="E404" s="117">
        <v>1</v>
      </c>
      <c r="F404" s="117"/>
      <c r="G404" s="117"/>
      <c r="H404" s="118"/>
      <c r="I404" s="65" t="s">
        <v>746</v>
      </c>
      <c r="J404" s="30"/>
      <c r="K404" s="30"/>
      <c r="L404" s="30"/>
      <c r="M404" s="30"/>
    </row>
    <row r="405" spans="1:13" s="68" customFormat="1" ht="17.25" customHeight="1" x14ac:dyDescent="0.35">
      <c r="A405" s="116"/>
      <c r="B405" s="117"/>
      <c r="C405" s="117"/>
      <c r="D405" s="117" t="s">
        <v>36</v>
      </c>
      <c r="E405" s="117">
        <v>1</v>
      </c>
      <c r="F405" s="117"/>
      <c r="G405" s="117"/>
      <c r="H405" s="118"/>
      <c r="I405" s="65" t="s">
        <v>747</v>
      </c>
      <c r="J405" s="30"/>
      <c r="K405" s="30"/>
      <c r="L405" s="30"/>
      <c r="M405" s="30"/>
    </row>
    <row r="406" spans="1:13" s="68" customFormat="1" ht="17.25" customHeight="1" x14ac:dyDescent="0.35">
      <c r="A406" s="116"/>
      <c r="B406" s="117"/>
      <c r="C406" s="117"/>
      <c r="D406" s="117" t="s">
        <v>36</v>
      </c>
      <c r="E406" s="117">
        <v>1</v>
      </c>
      <c r="F406" s="117"/>
      <c r="G406" s="117"/>
      <c r="H406" s="118"/>
      <c r="I406" s="65" t="s">
        <v>748</v>
      </c>
      <c r="J406" s="30"/>
      <c r="K406" s="30"/>
      <c r="L406" s="30"/>
      <c r="M406" s="30"/>
    </row>
    <row r="407" spans="1:13" s="68" customFormat="1" ht="17.25" customHeight="1" x14ac:dyDescent="0.35">
      <c r="A407" s="116"/>
      <c r="B407" s="117"/>
      <c r="C407" s="117"/>
      <c r="D407" s="117" t="s">
        <v>36</v>
      </c>
      <c r="E407" s="117">
        <v>1</v>
      </c>
      <c r="F407" s="117"/>
      <c r="G407" s="117"/>
      <c r="H407" s="118"/>
      <c r="I407" s="65" t="s">
        <v>749</v>
      </c>
      <c r="J407" s="30"/>
      <c r="K407" s="30"/>
      <c r="L407" s="30"/>
      <c r="M407" s="30"/>
    </row>
    <row r="408" spans="1:13" s="68" customFormat="1" ht="17.25" customHeight="1" x14ac:dyDescent="0.35">
      <c r="A408" s="116"/>
      <c r="B408" s="117"/>
      <c r="C408" s="117"/>
      <c r="D408" s="117" t="s">
        <v>37</v>
      </c>
      <c r="E408" s="117">
        <v>16</v>
      </c>
      <c r="F408" s="117"/>
      <c r="G408" s="117"/>
      <c r="H408" s="118"/>
      <c r="I408" s="65" t="s">
        <v>750</v>
      </c>
      <c r="J408" s="30"/>
      <c r="K408" s="30"/>
      <c r="L408" s="30"/>
      <c r="M408" s="30"/>
    </row>
    <row r="409" spans="1:13" s="68" customFormat="1" ht="17.25" customHeight="1" x14ac:dyDescent="0.35">
      <c r="A409" s="116"/>
      <c r="B409" s="117"/>
      <c r="C409" s="117"/>
      <c r="D409" s="117" t="s">
        <v>37</v>
      </c>
      <c r="E409" s="117">
        <v>16</v>
      </c>
      <c r="F409" s="117"/>
      <c r="G409" s="117"/>
      <c r="H409" s="118"/>
      <c r="I409" s="65" t="s">
        <v>751</v>
      </c>
      <c r="J409" s="30"/>
      <c r="K409" s="30"/>
      <c r="L409" s="30"/>
      <c r="M409" s="30"/>
    </row>
    <row r="410" spans="1:13" s="68" customFormat="1" ht="17.25" customHeight="1" x14ac:dyDescent="0.35">
      <c r="A410" s="116"/>
      <c r="B410" s="117"/>
      <c r="C410" s="117"/>
      <c r="D410" s="117" t="s">
        <v>37</v>
      </c>
      <c r="E410" s="117">
        <v>16</v>
      </c>
      <c r="F410" s="117"/>
      <c r="G410" s="117"/>
      <c r="H410" s="118"/>
      <c r="I410" s="65" t="s">
        <v>752</v>
      </c>
      <c r="J410" s="30"/>
      <c r="K410" s="30"/>
      <c r="L410" s="30"/>
      <c r="M410" s="30"/>
    </row>
    <row r="411" spans="1:13" s="68" customFormat="1" ht="17.25" customHeight="1" x14ac:dyDescent="0.35">
      <c r="A411" s="116"/>
      <c r="B411" s="117"/>
      <c r="C411" s="117"/>
      <c r="D411" s="117" t="s">
        <v>37</v>
      </c>
      <c r="E411" s="117">
        <v>16</v>
      </c>
      <c r="F411" s="117"/>
      <c r="G411" s="117"/>
      <c r="H411" s="118"/>
      <c r="I411" s="65" t="s">
        <v>753</v>
      </c>
      <c r="J411" s="30"/>
      <c r="K411" s="30"/>
      <c r="L411" s="30"/>
      <c r="M411" s="30"/>
    </row>
    <row r="412" spans="1:13" s="68" customFormat="1" ht="17.25" customHeight="1" x14ac:dyDescent="0.35">
      <c r="A412" s="116"/>
      <c r="B412" s="117"/>
      <c r="C412" s="117"/>
      <c r="D412" s="117" t="s">
        <v>37</v>
      </c>
      <c r="E412" s="117">
        <v>16</v>
      </c>
      <c r="F412" s="117"/>
      <c r="G412" s="117"/>
      <c r="H412" s="118"/>
      <c r="I412" s="65" t="s">
        <v>754</v>
      </c>
      <c r="J412" s="30"/>
      <c r="K412" s="30"/>
      <c r="L412" s="30"/>
      <c r="M412" s="30"/>
    </row>
    <row r="413" spans="1:13" s="68" customFormat="1" ht="17.25" customHeight="1" x14ac:dyDescent="0.35">
      <c r="A413" s="116"/>
      <c r="B413" s="117"/>
      <c r="C413" s="117"/>
      <c r="D413" s="117" t="s">
        <v>37</v>
      </c>
      <c r="E413" s="117">
        <v>45</v>
      </c>
      <c r="F413" s="117"/>
      <c r="G413" s="117"/>
      <c r="H413" s="118"/>
      <c r="I413" s="65" t="s">
        <v>755</v>
      </c>
      <c r="J413" s="30"/>
      <c r="K413" s="30"/>
      <c r="L413" s="30"/>
      <c r="M413" s="30"/>
    </row>
    <row r="414" spans="1:13" s="68" customFormat="1" ht="17.25" customHeight="1" x14ac:dyDescent="0.35">
      <c r="A414" s="116"/>
      <c r="B414" s="117"/>
      <c r="C414" s="117"/>
      <c r="D414" s="117" t="s">
        <v>37</v>
      </c>
      <c r="E414" s="117">
        <v>5</v>
      </c>
      <c r="F414" s="117"/>
      <c r="G414" s="117"/>
      <c r="H414" s="118"/>
      <c r="I414" s="65" t="s">
        <v>756</v>
      </c>
      <c r="J414" s="30"/>
      <c r="K414" s="30"/>
      <c r="L414" s="30"/>
      <c r="M414" s="30"/>
    </row>
    <row r="415" spans="1:13" s="68" customFormat="1" ht="17.25" customHeight="1" x14ac:dyDescent="0.35">
      <c r="A415" s="116"/>
      <c r="B415" s="117"/>
      <c r="C415" s="117"/>
      <c r="D415" s="117" t="s">
        <v>37</v>
      </c>
      <c r="E415" s="117">
        <v>270</v>
      </c>
      <c r="F415" s="117"/>
      <c r="G415" s="117"/>
      <c r="H415" s="118"/>
      <c r="I415" s="65" t="s">
        <v>757</v>
      </c>
      <c r="J415" s="30"/>
      <c r="K415" s="30"/>
      <c r="L415" s="30"/>
      <c r="M415" s="30"/>
    </row>
    <row r="416" spans="1:13" s="68" customFormat="1" ht="17.25" customHeight="1" x14ac:dyDescent="0.35">
      <c r="A416" s="116"/>
      <c r="B416" s="117"/>
      <c r="C416" s="117"/>
      <c r="D416" s="117" t="s">
        <v>37</v>
      </c>
      <c r="E416" s="117">
        <v>270</v>
      </c>
      <c r="F416" s="117"/>
      <c r="G416" s="117"/>
      <c r="H416" s="118"/>
      <c r="I416" s="65" t="s">
        <v>758</v>
      </c>
      <c r="J416" s="30"/>
      <c r="K416" s="30"/>
      <c r="L416" s="30"/>
      <c r="M416" s="30"/>
    </row>
    <row r="417" spans="1:13" s="68" customFormat="1" ht="17.25" customHeight="1" x14ac:dyDescent="0.35">
      <c r="A417" s="116"/>
      <c r="B417" s="117"/>
      <c r="C417" s="117"/>
      <c r="D417" s="117" t="s">
        <v>37</v>
      </c>
      <c r="E417" s="117">
        <v>270</v>
      </c>
      <c r="F417" s="117"/>
      <c r="G417" s="117"/>
      <c r="H417" s="118"/>
      <c r="I417" s="65" t="s">
        <v>759</v>
      </c>
      <c r="J417" s="30"/>
      <c r="K417" s="30"/>
      <c r="L417" s="30"/>
      <c r="M417" s="30"/>
    </row>
    <row r="418" spans="1:13" s="68" customFormat="1" ht="17.25" customHeight="1" x14ac:dyDescent="0.35">
      <c r="A418" s="116"/>
      <c r="B418" s="117"/>
      <c r="C418" s="117"/>
      <c r="D418" s="117" t="s">
        <v>36</v>
      </c>
      <c r="E418" s="117">
        <v>13</v>
      </c>
      <c r="F418" s="117"/>
      <c r="G418" s="117"/>
      <c r="H418" s="118"/>
      <c r="I418" s="65" t="s">
        <v>760</v>
      </c>
      <c r="J418" s="30"/>
      <c r="K418" s="30"/>
      <c r="L418" s="30"/>
      <c r="M418" s="30"/>
    </row>
    <row r="419" spans="1:13" s="68" customFormat="1" ht="17.25" customHeight="1" x14ac:dyDescent="0.35">
      <c r="A419" s="116" t="s">
        <v>434</v>
      </c>
      <c r="B419" s="117" t="s">
        <v>435</v>
      </c>
      <c r="C419" s="117" t="s">
        <v>58</v>
      </c>
      <c r="D419" s="117"/>
      <c r="E419" s="117"/>
      <c r="F419" s="117"/>
      <c r="G419" s="117" t="s">
        <v>591</v>
      </c>
      <c r="H419" s="118"/>
      <c r="I419" s="65">
        <v>70263</v>
      </c>
      <c r="J419" s="30"/>
      <c r="K419" s="30"/>
      <c r="L419" s="30"/>
      <c r="M419" s="30"/>
    </row>
    <row r="420" spans="1:13" s="68" customFormat="1" ht="17.25" customHeight="1" x14ac:dyDescent="0.35">
      <c r="A420" s="116"/>
      <c r="B420" s="117"/>
      <c r="C420" s="117"/>
      <c r="D420" s="117" t="s">
        <v>36</v>
      </c>
      <c r="E420" s="117">
        <v>1</v>
      </c>
      <c r="F420" s="117">
        <v>6</v>
      </c>
      <c r="G420" s="117"/>
      <c r="H420" s="118"/>
      <c r="I420" s="65" t="s">
        <v>211</v>
      </c>
      <c r="J420" s="30"/>
      <c r="K420" s="30"/>
      <c r="L420" s="30"/>
      <c r="M420" s="30"/>
    </row>
    <row r="421" spans="1:13" s="68" customFormat="1" ht="17.25" customHeight="1" x14ac:dyDescent="0.35">
      <c r="A421" s="116"/>
      <c r="B421" s="117"/>
      <c r="C421" s="117"/>
      <c r="D421" s="117" t="s">
        <v>37</v>
      </c>
      <c r="E421" s="117">
        <v>64</v>
      </c>
      <c r="F421" s="117" t="s">
        <v>951</v>
      </c>
      <c r="G421" s="117"/>
      <c r="H421" s="118"/>
      <c r="I421" s="65" t="s">
        <v>436</v>
      </c>
      <c r="J421" s="30"/>
      <c r="K421" s="30"/>
      <c r="L421" s="30"/>
      <c r="M421" s="30"/>
    </row>
    <row r="422" spans="1:13" s="68" customFormat="1" ht="17.25" customHeight="1" x14ac:dyDescent="0.35">
      <c r="A422" s="116"/>
      <c r="B422" s="117"/>
      <c r="C422" s="117"/>
      <c r="D422" s="117" t="s">
        <v>37</v>
      </c>
      <c r="E422" s="117">
        <v>256</v>
      </c>
      <c r="F422" s="117"/>
      <c r="G422" s="117"/>
      <c r="H422" s="118"/>
      <c r="I422" s="65" t="s">
        <v>437</v>
      </c>
      <c r="J422" s="30"/>
      <c r="K422" s="30"/>
      <c r="L422" s="30"/>
      <c r="M422" s="30"/>
    </row>
    <row r="423" spans="1:13" s="68" customFormat="1" ht="17.25" customHeight="1" x14ac:dyDescent="0.35">
      <c r="A423" s="116"/>
      <c r="B423" s="117"/>
      <c r="C423" s="117"/>
      <c r="D423" s="117" t="s">
        <v>37</v>
      </c>
      <c r="E423" s="117">
        <v>256</v>
      </c>
      <c r="F423" s="117"/>
      <c r="G423" s="117"/>
      <c r="H423" s="118"/>
      <c r="I423" s="65" t="s">
        <v>438</v>
      </c>
      <c r="J423" s="30"/>
      <c r="K423" s="30"/>
      <c r="L423" s="30"/>
      <c r="M423" s="30"/>
    </row>
    <row r="424" spans="1:13" s="68" customFormat="1" ht="17.25" customHeight="1" x14ac:dyDescent="0.35">
      <c r="A424" s="116"/>
      <c r="B424" s="117"/>
      <c r="C424" s="117"/>
      <c r="D424" s="117" t="s">
        <v>37</v>
      </c>
      <c r="E424" s="117">
        <v>128</v>
      </c>
      <c r="F424" s="117" t="s">
        <v>439</v>
      </c>
      <c r="G424" s="117"/>
      <c r="H424" s="118"/>
      <c r="I424" s="65" t="s">
        <v>440</v>
      </c>
      <c r="J424" s="30"/>
      <c r="K424" s="30"/>
      <c r="L424" s="30"/>
      <c r="M424" s="30"/>
    </row>
    <row r="425" spans="1:13" s="68" customFormat="1" ht="17.25" customHeight="1" x14ac:dyDescent="0.35">
      <c r="A425" s="116"/>
      <c r="B425" s="117"/>
      <c r="C425" s="117"/>
      <c r="D425" s="117" t="s">
        <v>36</v>
      </c>
      <c r="E425" s="117">
        <v>4</v>
      </c>
      <c r="F425" s="117">
        <v>10</v>
      </c>
      <c r="G425" s="117"/>
      <c r="H425" s="118"/>
      <c r="I425" s="65" t="s">
        <v>441</v>
      </c>
      <c r="J425" s="30"/>
      <c r="K425" s="30"/>
      <c r="L425" s="30"/>
      <c r="M425" s="30"/>
    </row>
    <row r="426" spans="1:13" s="68" customFormat="1" ht="17.25" customHeight="1" x14ac:dyDescent="0.35">
      <c r="A426" s="116"/>
      <c r="B426" s="117"/>
      <c r="C426" s="117"/>
      <c r="D426" s="117" t="s">
        <v>36</v>
      </c>
      <c r="E426" s="117">
        <v>1</v>
      </c>
      <c r="F426" s="117">
        <v>1</v>
      </c>
      <c r="G426" s="117"/>
      <c r="H426" s="118"/>
      <c r="I426" s="65" t="s">
        <v>442</v>
      </c>
      <c r="J426" s="30"/>
      <c r="K426" s="30"/>
      <c r="L426" s="30"/>
      <c r="M426" s="30"/>
    </row>
    <row r="427" spans="1:13" s="68" customFormat="1" ht="17.25" customHeight="1" x14ac:dyDescent="0.35">
      <c r="A427" s="116"/>
      <c r="B427" s="117"/>
      <c r="C427" s="117"/>
      <c r="D427" s="117" t="s">
        <v>36</v>
      </c>
      <c r="E427" s="117">
        <v>1</v>
      </c>
      <c r="F427" s="117">
        <v>0</v>
      </c>
      <c r="G427" s="117"/>
      <c r="H427" s="118"/>
      <c r="I427" s="65" t="s">
        <v>565</v>
      </c>
      <c r="J427" s="30"/>
      <c r="K427" s="30"/>
      <c r="L427" s="30"/>
      <c r="M427" s="30"/>
    </row>
    <row r="428" spans="1:13" s="68" customFormat="1" ht="17.25" customHeight="1" x14ac:dyDescent="0.35">
      <c r="A428" s="116"/>
      <c r="B428" s="117"/>
      <c r="C428" s="117"/>
      <c r="D428" s="117" t="s">
        <v>36</v>
      </c>
      <c r="E428" s="117">
        <v>1</v>
      </c>
      <c r="F428" s="117">
        <v>0</v>
      </c>
      <c r="G428" s="117"/>
      <c r="H428" s="118"/>
      <c r="I428" s="65" t="s">
        <v>443</v>
      </c>
      <c r="J428" s="30"/>
      <c r="K428" s="30"/>
      <c r="L428" s="30"/>
      <c r="M428" s="30"/>
    </row>
    <row r="429" spans="1:13" s="68" customFormat="1" ht="17.25" customHeight="1" x14ac:dyDescent="0.35">
      <c r="A429" s="116"/>
      <c r="B429" s="117"/>
      <c r="C429" s="117"/>
      <c r="D429" s="117" t="s">
        <v>36</v>
      </c>
      <c r="E429" s="117">
        <v>1</v>
      </c>
      <c r="F429" s="117">
        <v>5</v>
      </c>
      <c r="G429" s="117"/>
      <c r="H429" s="118"/>
      <c r="I429" s="65" t="s">
        <v>566</v>
      </c>
      <c r="J429" s="30"/>
      <c r="K429" s="30"/>
      <c r="L429" s="30"/>
      <c r="M429" s="30"/>
    </row>
    <row r="430" spans="1:13" s="68" customFormat="1" ht="17.25" customHeight="1" x14ac:dyDescent="0.35">
      <c r="A430" s="116"/>
      <c r="B430" s="117"/>
      <c r="C430" s="117"/>
      <c r="D430" s="117" t="s">
        <v>36</v>
      </c>
      <c r="E430" s="117">
        <v>1</v>
      </c>
      <c r="F430" s="117">
        <v>0</v>
      </c>
      <c r="G430" s="117"/>
      <c r="H430" s="118"/>
      <c r="I430" s="65" t="s">
        <v>761</v>
      </c>
      <c r="J430" s="30"/>
      <c r="K430" s="30"/>
      <c r="L430" s="30"/>
      <c r="M430" s="30"/>
    </row>
    <row r="431" spans="1:13" s="68" customFormat="1" ht="17.25" customHeight="1" x14ac:dyDescent="0.35">
      <c r="A431" s="116"/>
      <c r="B431" s="117"/>
      <c r="C431" s="117"/>
      <c r="D431" s="117" t="s">
        <v>36</v>
      </c>
      <c r="E431" s="117">
        <v>1</v>
      </c>
      <c r="F431" s="117">
        <v>2</v>
      </c>
      <c r="G431" s="117"/>
      <c r="H431" s="118"/>
      <c r="I431" s="65" t="s">
        <v>762</v>
      </c>
      <c r="J431" s="30"/>
      <c r="K431" s="30"/>
      <c r="L431" s="30"/>
      <c r="M431" s="30"/>
    </row>
    <row r="432" spans="1:13" s="68" customFormat="1" ht="17.25" customHeight="1" x14ac:dyDescent="0.35">
      <c r="A432" s="116"/>
      <c r="B432" s="117"/>
      <c r="C432" s="117"/>
      <c r="D432" s="117" t="s">
        <v>37</v>
      </c>
      <c r="E432" s="117">
        <v>64</v>
      </c>
      <c r="F432" s="117"/>
      <c r="G432" s="117"/>
      <c r="H432" s="118"/>
      <c r="I432" s="65" t="s">
        <v>763</v>
      </c>
      <c r="J432" s="30"/>
      <c r="K432" s="30"/>
      <c r="L432" s="30"/>
      <c r="M432" s="30"/>
    </row>
    <row r="433" spans="1:13" s="68" customFormat="1" ht="17.25" customHeight="1" x14ac:dyDescent="0.35">
      <c r="A433" s="116"/>
      <c r="B433" s="117"/>
      <c r="C433" s="117"/>
      <c r="D433" s="117" t="s">
        <v>36</v>
      </c>
      <c r="E433" s="117">
        <v>1</v>
      </c>
      <c r="F433" s="117">
        <v>0</v>
      </c>
      <c r="G433" s="117"/>
      <c r="H433" s="118"/>
      <c r="I433" s="65" t="s">
        <v>764</v>
      </c>
      <c r="J433" s="30"/>
      <c r="K433" s="30"/>
      <c r="L433" s="30"/>
      <c r="M433" s="30"/>
    </row>
    <row r="434" spans="1:13" s="68" customFormat="1" ht="17.25" customHeight="1" x14ac:dyDescent="0.35">
      <c r="A434" s="116"/>
      <c r="B434" s="117"/>
      <c r="C434" s="117"/>
      <c r="D434" s="117" t="s">
        <v>36</v>
      </c>
      <c r="E434" s="117">
        <v>1</v>
      </c>
      <c r="F434" s="117">
        <v>0</v>
      </c>
      <c r="G434" s="117"/>
      <c r="H434" s="118"/>
      <c r="I434" s="65" t="s">
        <v>765</v>
      </c>
      <c r="J434" s="30"/>
      <c r="K434" s="30"/>
      <c r="L434" s="30"/>
      <c r="M434" s="30"/>
    </row>
    <row r="435" spans="1:13" s="68" customFormat="1" ht="17.25" customHeight="1" x14ac:dyDescent="0.35">
      <c r="A435" s="116"/>
      <c r="B435" s="117"/>
      <c r="C435" s="117"/>
      <c r="D435" s="117" t="s">
        <v>36</v>
      </c>
      <c r="E435" s="117">
        <v>2</v>
      </c>
      <c r="F435" s="117">
        <v>0</v>
      </c>
      <c r="G435" s="117"/>
      <c r="H435" s="118"/>
      <c r="I435" s="65" t="s">
        <v>766</v>
      </c>
      <c r="J435" s="30"/>
      <c r="K435" s="30"/>
      <c r="L435" s="30"/>
      <c r="M435" s="30"/>
    </row>
    <row r="436" spans="1:13" s="68" customFormat="1" ht="17.25" customHeight="1" x14ac:dyDescent="0.35">
      <c r="A436" s="116"/>
      <c r="B436" s="117"/>
      <c r="C436" s="117"/>
      <c r="D436" s="117" t="s">
        <v>36</v>
      </c>
      <c r="E436" s="117">
        <v>4</v>
      </c>
      <c r="F436" s="117">
        <v>0</v>
      </c>
      <c r="G436" s="117"/>
      <c r="H436" s="118"/>
      <c r="I436" s="65" t="s">
        <v>767</v>
      </c>
      <c r="J436" s="30"/>
      <c r="K436" s="30"/>
      <c r="L436" s="30"/>
      <c r="M436" s="30"/>
    </row>
    <row r="437" spans="1:13" s="68" customFormat="1" ht="17.25" customHeight="1" x14ac:dyDescent="0.35">
      <c r="A437" s="116"/>
      <c r="B437" s="117"/>
      <c r="C437" s="117"/>
      <c r="D437" s="117" t="s">
        <v>36</v>
      </c>
      <c r="E437" s="117">
        <v>209</v>
      </c>
      <c r="F437" s="117"/>
      <c r="G437" s="117"/>
      <c r="H437" s="118"/>
      <c r="I437" s="65" t="s">
        <v>222</v>
      </c>
      <c r="J437" s="30"/>
      <c r="K437" s="30"/>
      <c r="L437" s="30"/>
      <c r="M437" s="30"/>
    </row>
    <row r="438" spans="1:13" s="68" customFormat="1" ht="17.25" customHeight="1" x14ac:dyDescent="0.35">
      <c r="A438" s="116" t="s">
        <v>333</v>
      </c>
      <c r="B438" s="117" t="s">
        <v>334</v>
      </c>
      <c r="C438" s="117" t="s">
        <v>58</v>
      </c>
      <c r="D438" s="117"/>
      <c r="E438" s="117"/>
      <c r="F438" s="117"/>
      <c r="G438" s="117" t="s">
        <v>591</v>
      </c>
      <c r="H438" s="118"/>
      <c r="I438" s="65" t="s">
        <v>768</v>
      </c>
      <c r="J438" s="30"/>
      <c r="K438" s="30"/>
      <c r="L438" s="30"/>
      <c r="M438" s="30"/>
    </row>
    <row r="439" spans="1:13" s="68" customFormat="1" ht="17.25" customHeight="1" x14ac:dyDescent="0.35">
      <c r="A439" s="116"/>
      <c r="B439" s="117"/>
      <c r="C439" s="117"/>
      <c r="D439" s="117" t="s">
        <v>36</v>
      </c>
      <c r="E439" s="117">
        <v>1</v>
      </c>
      <c r="F439" s="117">
        <v>0</v>
      </c>
      <c r="G439" s="117"/>
      <c r="H439" s="118"/>
      <c r="I439" s="65" t="s">
        <v>173</v>
      </c>
      <c r="J439" s="30"/>
      <c r="K439" s="30"/>
      <c r="L439" s="30"/>
      <c r="M439" s="30"/>
    </row>
    <row r="440" spans="1:13" s="68" customFormat="1" ht="17.25" customHeight="1" x14ac:dyDescent="0.35">
      <c r="A440" s="116"/>
      <c r="B440" s="117"/>
      <c r="C440" s="117"/>
      <c r="D440" s="117" t="s">
        <v>36</v>
      </c>
      <c r="E440" s="117">
        <v>4</v>
      </c>
      <c r="F440" s="117"/>
      <c r="G440" s="117"/>
      <c r="H440" s="118"/>
      <c r="I440" s="65" t="s">
        <v>335</v>
      </c>
      <c r="J440" s="30"/>
      <c r="K440" s="30"/>
      <c r="L440" s="30"/>
      <c r="M440" s="30"/>
    </row>
    <row r="441" spans="1:13" s="68" customFormat="1" ht="17.25" customHeight="1" x14ac:dyDescent="0.35">
      <c r="A441" s="116"/>
      <c r="B441" s="117"/>
      <c r="C441" s="117"/>
      <c r="D441" s="117" t="s">
        <v>36</v>
      </c>
      <c r="E441" s="117">
        <v>1</v>
      </c>
      <c r="F441" s="117">
        <v>0</v>
      </c>
      <c r="G441" s="117"/>
      <c r="H441" s="118"/>
      <c r="I441" s="65" t="s">
        <v>336</v>
      </c>
      <c r="J441" s="30"/>
      <c r="K441" s="30"/>
      <c r="L441" s="30"/>
      <c r="M441" s="30"/>
    </row>
    <row r="442" spans="1:13" s="68" customFormat="1" ht="17.25" customHeight="1" x14ac:dyDescent="0.35">
      <c r="A442" s="116"/>
      <c r="B442" s="117"/>
      <c r="C442" s="117"/>
      <c r="D442" s="117" t="s">
        <v>36</v>
      </c>
      <c r="E442" s="117">
        <v>122</v>
      </c>
      <c r="F442" s="117"/>
      <c r="G442" s="117"/>
      <c r="H442" s="118"/>
      <c r="I442" s="65" t="s">
        <v>222</v>
      </c>
      <c r="J442" s="30"/>
      <c r="K442" s="30"/>
      <c r="L442" s="30"/>
      <c r="M442" s="30"/>
    </row>
    <row r="443" spans="1:13" s="68" customFormat="1" ht="17.25" customHeight="1" x14ac:dyDescent="0.35">
      <c r="A443" s="116" t="s">
        <v>228</v>
      </c>
      <c r="B443" s="117" t="s">
        <v>229</v>
      </c>
      <c r="C443" s="117" t="s">
        <v>58</v>
      </c>
      <c r="D443" s="117"/>
      <c r="E443" s="117"/>
      <c r="F443" s="117"/>
      <c r="G443" s="117" t="s">
        <v>591</v>
      </c>
      <c r="H443" s="118"/>
      <c r="I443" s="65">
        <v>71527</v>
      </c>
      <c r="J443" s="30"/>
      <c r="K443" s="30"/>
      <c r="L443" s="30"/>
      <c r="M443" s="30"/>
    </row>
    <row r="444" spans="1:13" s="68" customFormat="1" ht="17.25" customHeight="1" x14ac:dyDescent="0.35">
      <c r="A444" s="116"/>
      <c r="B444" s="117"/>
      <c r="C444" s="117"/>
      <c r="D444" s="117" t="s">
        <v>36</v>
      </c>
      <c r="E444" s="117">
        <v>1</v>
      </c>
      <c r="F444" s="117">
        <v>0</v>
      </c>
      <c r="G444" s="117"/>
      <c r="H444" s="118"/>
      <c r="I444" s="65" t="s">
        <v>211</v>
      </c>
      <c r="J444" s="30"/>
      <c r="K444" s="30"/>
      <c r="L444" s="30"/>
      <c r="M444" s="30"/>
    </row>
    <row r="445" spans="1:13" s="68" customFormat="1" ht="17.25" customHeight="1" x14ac:dyDescent="0.35">
      <c r="A445" s="116"/>
      <c r="B445" s="117"/>
      <c r="C445" s="117"/>
      <c r="D445" s="117" t="s">
        <v>36</v>
      </c>
      <c r="E445" s="117">
        <v>2</v>
      </c>
      <c r="F445" s="117">
        <v>272</v>
      </c>
      <c r="G445" s="117"/>
      <c r="H445" s="118"/>
      <c r="I445" s="65" t="s">
        <v>230</v>
      </c>
      <c r="J445" s="30"/>
      <c r="K445" s="30"/>
      <c r="L445" s="30"/>
      <c r="M445" s="30"/>
    </row>
    <row r="446" spans="1:13" s="68" customFormat="1" ht="17.25" customHeight="1" x14ac:dyDescent="0.35">
      <c r="A446" s="116"/>
      <c r="B446" s="117"/>
      <c r="C446" s="117"/>
      <c r="D446" s="117" t="s">
        <v>36</v>
      </c>
      <c r="E446" s="117">
        <v>1</v>
      </c>
      <c r="F446" s="117">
        <v>17</v>
      </c>
      <c r="G446" s="117"/>
      <c r="H446" s="118"/>
      <c r="I446" s="65" t="s">
        <v>231</v>
      </c>
      <c r="J446" s="30"/>
      <c r="K446" s="30"/>
      <c r="L446" s="30"/>
      <c r="M446" s="30"/>
    </row>
    <row r="447" spans="1:13" s="68" customFormat="1" ht="17.25" customHeight="1" x14ac:dyDescent="0.35">
      <c r="A447" s="116"/>
      <c r="B447" s="117"/>
      <c r="C447" s="117"/>
      <c r="D447" s="117" t="s">
        <v>36</v>
      </c>
      <c r="E447" s="117">
        <v>2</v>
      </c>
      <c r="F447" s="117">
        <v>7</v>
      </c>
      <c r="G447" s="117"/>
      <c r="H447" s="118"/>
      <c r="I447" s="65" t="s">
        <v>232</v>
      </c>
      <c r="J447" s="30"/>
      <c r="K447" s="30"/>
      <c r="L447" s="30"/>
      <c r="M447" s="30"/>
    </row>
    <row r="448" spans="1:13" s="68" customFormat="1" ht="17.25" customHeight="1" x14ac:dyDescent="0.35">
      <c r="A448" s="116"/>
      <c r="B448" s="117"/>
      <c r="C448" s="117"/>
      <c r="D448" s="117" t="s">
        <v>36</v>
      </c>
      <c r="E448" s="117">
        <v>1</v>
      </c>
      <c r="F448" s="117">
        <v>136</v>
      </c>
      <c r="G448" s="117"/>
      <c r="H448" s="118"/>
      <c r="I448" s="65" t="s">
        <v>233</v>
      </c>
      <c r="J448" s="30"/>
      <c r="K448" s="30"/>
      <c r="L448" s="30"/>
      <c r="M448" s="30"/>
    </row>
    <row r="449" spans="1:13" s="68" customFormat="1" ht="17.25" customHeight="1" x14ac:dyDescent="0.35">
      <c r="A449" s="116"/>
      <c r="B449" s="117"/>
      <c r="C449" s="117"/>
      <c r="D449" s="117" t="s">
        <v>36</v>
      </c>
      <c r="E449" s="117">
        <v>1</v>
      </c>
      <c r="F449" s="117">
        <v>64</v>
      </c>
      <c r="G449" s="117"/>
      <c r="H449" s="118"/>
      <c r="I449" s="65" t="s">
        <v>234</v>
      </c>
      <c r="J449" s="30"/>
      <c r="K449" s="30"/>
      <c r="L449" s="30"/>
      <c r="M449" s="30"/>
    </row>
    <row r="450" spans="1:13" s="68" customFormat="1" ht="17.25" customHeight="1" x14ac:dyDescent="0.35">
      <c r="A450" s="116"/>
      <c r="B450" s="117"/>
      <c r="C450" s="117"/>
      <c r="D450" s="117" t="s">
        <v>36</v>
      </c>
      <c r="E450" s="117">
        <v>2</v>
      </c>
      <c r="F450" s="117">
        <v>0</v>
      </c>
      <c r="G450" s="117"/>
      <c r="H450" s="118"/>
      <c r="I450" s="65" t="s">
        <v>235</v>
      </c>
      <c r="J450" s="30"/>
      <c r="K450" s="30"/>
      <c r="L450" s="30"/>
      <c r="M450" s="30"/>
    </row>
    <row r="451" spans="1:13" s="68" customFormat="1" ht="17.25" customHeight="1" x14ac:dyDescent="0.35">
      <c r="A451" s="116"/>
      <c r="B451" s="117"/>
      <c r="C451" s="117"/>
      <c r="D451" s="117" t="s">
        <v>36</v>
      </c>
      <c r="E451" s="117">
        <v>1</v>
      </c>
      <c r="F451" s="117">
        <v>0</v>
      </c>
      <c r="G451" s="117"/>
      <c r="H451" s="118"/>
      <c r="I451" s="65" t="s">
        <v>236</v>
      </c>
      <c r="J451" s="30"/>
      <c r="K451" s="30"/>
      <c r="L451" s="30"/>
      <c r="M451" s="30"/>
    </row>
    <row r="452" spans="1:13" s="68" customFormat="1" ht="17.25" customHeight="1" x14ac:dyDescent="0.35">
      <c r="A452" s="116"/>
      <c r="B452" s="117"/>
      <c r="C452" s="117"/>
      <c r="D452" s="117" t="s">
        <v>36</v>
      </c>
      <c r="E452" s="117">
        <v>2</v>
      </c>
      <c r="F452" s="117">
        <v>0</v>
      </c>
      <c r="G452" s="117"/>
      <c r="H452" s="118"/>
      <c r="I452" s="65" t="s">
        <v>237</v>
      </c>
      <c r="J452" s="30"/>
      <c r="K452" s="30"/>
      <c r="L452" s="30"/>
      <c r="M452" s="30"/>
    </row>
    <row r="453" spans="1:13" s="68" customFormat="1" ht="17.25" customHeight="1" x14ac:dyDescent="0.35">
      <c r="A453" s="116"/>
      <c r="B453" s="117"/>
      <c r="C453" s="117"/>
      <c r="D453" s="117" t="s">
        <v>36</v>
      </c>
      <c r="E453" s="117">
        <v>1</v>
      </c>
      <c r="F453" s="117">
        <v>0</v>
      </c>
      <c r="G453" s="117"/>
      <c r="H453" s="118"/>
      <c r="I453" s="65" t="s">
        <v>238</v>
      </c>
      <c r="J453" s="30"/>
      <c r="K453" s="30"/>
      <c r="L453" s="30"/>
      <c r="M453" s="30"/>
    </row>
    <row r="454" spans="1:13" s="68" customFormat="1" ht="17.25" customHeight="1" x14ac:dyDescent="0.35">
      <c r="A454" s="116"/>
      <c r="B454" s="117"/>
      <c r="C454" s="117"/>
      <c r="D454" s="117" t="s">
        <v>36</v>
      </c>
      <c r="E454" s="117">
        <v>1</v>
      </c>
      <c r="F454" s="117">
        <v>0</v>
      </c>
      <c r="G454" s="117"/>
      <c r="H454" s="118"/>
      <c r="I454" s="65" t="s">
        <v>239</v>
      </c>
      <c r="J454" s="30"/>
      <c r="K454" s="30"/>
      <c r="L454" s="30"/>
      <c r="M454" s="30"/>
    </row>
    <row r="455" spans="1:13" s="68" customFormat="1" ht="17.25" customHeight="1" x14ac:dyDescent="0.35">
      <c r="A455" s="116"/>
      <c r="B455" s="117"/>
      <c r="C455" s="117"/>
      <c r="D455" s="117" t="s">
        <v>36</v>
      </c>
      <c r="E455" s="117">
        <v>2</v>
      </c>
      <c r="F455" s="117">
        <v>0</v>
      </c>
      <c r="G455" s="117"/>
      <c r="H455" s="118"/>
      <c r="I455" s="65" t="s">
        <v>240</v>
      </c>
      <c r="J455" s="30"/>
      <c r="K455" s="30"/>
      <c r="L455" s="30"/>
      <c r="M455" s="30"/>
    </row>
    <row r="456" spans="1:13" s="68" customFormat="1" ht="17.25" customHeight="1" x14ac:dyDescent="0.35">
      <c r="A456" s="116"/>
      <c r="B456" s="117"/>
      <c r="C456" s="117"/>
      <c r="D456" s="117" t="s">
        <v>36</v>
      </c>
      <c r="E456" s="117">
        <v>1</v>
      </c>
      <c r="F456" s="117">
        <v>0</v>
      </c>
      <c r="G456" s="117"/>
      <c r="H456" s="118"/>
      <c r="I456" s="65" t="s">
        <v>241</v>
      </c>
      <c r="J456" s="30"/>
      <c r="K456" s="30"/>
      <c r="L456" s="30"/>
      <c r="M456" s="30"/>
    </row>
    <row r="457" spans="1:13" s="68" customFormat="1" ht="17.25" customHeight="1" x14ac:dyDescent="0.35">
      <c r="A457" s="116"/>
      <c r="B457" s="117"/>
      <c r="C457" s="117"/>
      <c r="D457" s="117" t="s">
        <v>36</v>
      </c>
      <c r="E457" s="117">
        <v>2</v>
      </c>
      <c r="F457" s="117">
        <v>0</v>
      </c>
      <c r="G457" s="117"/>
      <c r="H457" s="118"/>
      <c r="I457" s="65" t="s">
        <v>242</v>
      </c>
      <c r="J457" s="30"/>
      <c r="K457" s="30"/>
      <c r="L457" s="30"/>
      <c r="M457" s="30"/>
    </row>
    <row r="458" spans="1:13" s="68" customFormat="1" ht="17.25" customHeight="1" x14ac:dyDescent="0.35">
      <c r="A458" s="116"/>
      <c r="B458" s="117"/>
      <c r="C458" s="117"/>
      <c r="D458" s="117" t="s">
        <v>36</v>
      </c>
      <c r="E458" s="117">
        <v>1</v>
      </c>
      <c r="F458" s="117">
        <v>0</v>
      </c>
      <c r="G458" s="117"/>
      <c r="H458" s="118"/>
      <c r="I458" s="65" t="s">
        <v>243</v>
      </c>
      <c r="J458" s="30"/>
      <c r="K458" s="30"/>
      <c r="L458" s="30"/>
      <c r="M458" s="30"/>
    </row>
    <row r="459" spans="1:13" s="68" customFormat="1" ht="17.25" customHeight="1" x14ac:dyDescent="0.35">
      <c r="A459" s="116"/>
      <c r="B459" s="117"/>
      <c r="C459" s="117"/>
      <c r="D459" s="117" t="s">
        <v>36</v>
      </c>
      <c r="E459" s="117">
        <v>1</v>
      </c>
      <c r="F459" s="117">
        <v>0</v>
      </c>
      <c r="G459" s="117"/>
      <c r="H459" s="118"/>
      <c r="I459" s="65" t="s">
        <v>244</v>
      </c>
      <c r="J459" s="30"/>
      <c r="K459" s="30"/>
      <c r="L459" s="30"/>
      <c r="M459" s="30"/>
    </row>
    <row r="460" spans="1:13" s="68" customFormat="1" ht="17.25" customHeight="1" x14ac:dyDescent="0.35">
      <c r="A460" s="116"/>
      <c r="B460" s="117"/>
      <c r="C460" s="117"/>
      <c r="D460" s="117" t="s">
        <v>36</v>
      </c>
      <c r="E460" s="117">
        <v>2</v>
      </c>
      <c r="F460" s="117">
        <v>0</v>
      </c>
      <c r="G460" s="117"/>
      <c r="H460" s="118"/>
      <c r="I460" s="65" t="s">
        <v>245</v>
      </c>
      <c r="J460" s="30"/>
      <c r="K460" s="30"/>
      <c r="L460" s="30"/>
      <c r="M460" s="30"/>
    </row>
    <row r="461" spans="1:13" s="68" customFormat="1" ht="17.25" customHeight="1" x14ac:dyDescent="0.35">
      <c r="A461" s="116"/>
      <c r="B461" s="117"/>
      <c r="C461" s="117"/>
      <c r="D461" s="117" t="s">
        <v>36</v>
      </c>
      <c r="E461" s="117">
        <v>1</v>
      </c>
      <c r="F461" s="117">
        <v>0</v>
      </c>
      <c r="G461" s="117"/>
      <c r="H461" s="118"/>
      <c r="I461" s="65" t="s">
        <v>246</v>
      </c>
      <c r="J461" s="30"/>
      <c r="K461" s="30"/>
      <c r="L461" s="30"/>
      <c r="M461" s="30"/>
    </row>
    <row r="462" spans="1:13" s="68" customFormat="1" ht="17.25" customHeight="1" x14ac:dyDescent="0.35">
      <c r="A462" s="116"/>
      <c r="B462" s="117"/>
      <c r="C462" s="117"/>
      <c r="D462" s="117" t="s">
        <v>36</v>
      </c>
      <c r="E462" s="117">
        <v>2</v>
      </c>
      <c r="F462" s="117">
        <v>0</v>
      </c>
      <c r="G462" s="117"/>
      <c r="H462" s="118"/>
      <c r="I462" s="65" t="s">
        <v>247</v>
      </c>
      <c r="J462" s="30"/>
      <c r="K462" s="30"/>
      <c r="L462" s="30"/>
      <c r="M462" s="30"/>
    </row>
    <row r="463" spans="1:13" s="68" customFormat="1" ht="17.25" customHeight="1" x14ac:dyDescent="0.35">
      <c r="A463" s="116"/>
      <c r="B463" s="117"/>
      <c r="C463" s="117"/>
      <c r="D463" s="117" t="s">
        <v>36</v>
      </c>
      <c r="E463" s="117">
        <v>1</v>
      </c>
      <c r="F463" s="117">
        <v>0</v>
      </c>
      <c r="G463" s="117"/>
      <c r="H463" s="118"/>
      <c r="I463" s="65" t="s">
        <v>248</v>
      </c>
      <c r="J463" s="30"/>
      <c r="K463" s="30"/>
      <c r="L463" s="30"/>
      <c r="M463" s="30"/>
    </row>
    <row r="464" spans="1:13" s="68" customFormat="1" ht="17.25" customHeight="1" x14ac:dyDescent="0.35">
      <c r="A464" s="116"/>
      <c r="B464" s="117"/>
      <c r="C464" s="117"/>
      <c r="D464" s="117" t="s">
        <v>36</v>
      </c>
      <c r="E464" s="117">
        <v>1</v>
      </c>
      <c r="F464" s="117">
        <v>0</v>
      </c>
      <c r="G464" s="117"/>
      <c r="H464" s="118"/>
      <c r="I464" s="65" t="s">
        <v>249</v>
      </c>
      <c r="J464" s="30"/>
      <c r="K464" s="30"/>
      <c r="L464" s="30"/>
      <c r="M464" s="30"/>
    </row>
    <row r="465" spans="1:13" s="68" customFormat="1" ht="17.25" customHeight="1" x14ac:dyDescent="0.35">
      <c r="A465" s="116"/>
      <c r="B465" s="117"/>
      <c r="C465" s="117"/>
      <c r="D465" s="117" t="s">
        <v>36</v>
      </c>
      <c r="E465" s="117">
        <v>2</v>
      </c>
      <c r="F465" s="117">
        <v>0</v>
      </c>
      <c r="G465" s="117"/>
      <c r="H465" s="118"/>
      <c r="I465" s="65" t="s">
        <v>250</v>
      </c>
      <c r="J465" s="30"/>
      <c r="K465" s="30"/>
      <c r="L465" s="30"/>
      <c r="M465" s="30"/>
    </row>
    <row r="466" spans="1:13" s="68" customFormat="1" ht="17.25" customHeight="1" x14ac:dyDescent="0.35">
      <c r="A466" s="116"/>
      <c r="B466" s="117"/>
      <c r="C466" s="117"/>
      <c r="D466" s="117" t="s">
        <v>36</v>
      </c>
      <c r="E466" s="117">
        <v>1</v>
      </c>
      <c r="F466" s="117">
        <v>0</v>
      </c>
      <c r="G466" s="117"/>
      <c r="H466" s="118"/>
      <c r="I466" s="65" t="s">
        <v>251</v>
      </c>
      <c r="J466" s="30"/>
      <c r="K466" s="30"/>
      <c r="L466" s="30"/>
      <c r="M466" s="30"/>
    </row>
    <row r="467" spans="1:13" s="68" customFormat="1" ht="17.25" customHeight="1" x14ac:dyDescent="0.35">
      <c r="A467" s="116"/>
      <c r="B467" s="117"/>
      <c r="C467" s="117"/>
      <c r="D467" s="117" t="s">
        <v>36</v>
      </c>
      <c r="E467" s="117">
        <v>2</v>
      </c>
      <c r="F467" s="117">
        <v>0</v>
      </c>
      <c r="G467" s="117"/>
      <c r="H467" s="118"/>
      <c r="I467" s="65" t="s">
        <v>252</v>
      </c>
      <c r="J467" s="30"/>
      <c r="K467" s="30"/>
      <c r="L467" s="30"/>
      <c r="M467" s="30"/>
    </row>
    <row r="468" spans="1:13" s="68" customFormat="1" ht="17.25" customHeight="1" x14ac:dyDescent="0.35">
      <c r="A468" s="116"/>
      <c r="B468" s="117"/>
      <c r="C468" s="117"/>
      <c r="D468" s="117" t="s">
        <v>36</v>
      </c>
      <c r="E468" s="117">
        <v>1</v>
      </c>
      <c r="F468" s="117">
        <v>0</v>
      </c>
      <c r="G468" s="117"/>
      <c r="H468" s="118"/>
      <c r="I468" s="65" t="s">
        <v>253</v>
      </c>
      <c r="J468" s="30"/>
      <c r="K468" s="30"/>
      <c r="L468" s="30"/>
      <c r="M468" s="30"/>
    </row>
    <row r="469" spans="1:13" s="68" customFormat="1" ht="17.25" customHeight="1" x14ac:dyDescent="0.35">
      <c r="A469" s="116"/>
      <c r="B469" s="117"/>
      <c r="C469" s="117"/>
      <c r="D469" s="117" t="s">
        <v>36</v>
      </c>
      <c r="E469" s="117">
        <v>1</v>
      </c>
      <c r="F469" s="117">
        <v>0</v>
      </c>
      <c r="G469" s="117"/>
      <c r="H469" s="118"/>
      <c r="I469" s="65" t="s">
        <v>254</v>
      </c>
      <c r="J469" s="30"/>
      <c r="K469" s="30"/>
      <c r="L469" s="30"/>
      <c r="M469" s="30"/>
    </row>
    <row r="470" spans="1:13" s="68" customFormat="1" ht="17.25" customHeight="1" x14ac:dyDescent="0.35">
      <c r="A470" s="116"/>
      <c r="B470" s="117"/>
      <c r="C470" s="117"/>
      <c r="D470" s="117" t="s">
        <v>36</v>
      </c>
      <c r="E470" s="117">
        <v>2</v>
      </c>
      <c r="F470" s="117">
        <v>0</v>
      </c>
      <c r="G470" s="117"/>
      <c r="H470" s="118"/>
      <c r="I470" s="65" t="s">
        <v>255</v>
      </c>
      <c r="J470" s="30"/>
      <c r="K470" s="30"/>
      <c r="L470" s="30"/>
      <c r="M470" s="30"/>
    </row>
    <row r="471" spans="1:13" s="68" customFormat="1" ht="17.25" customHeight="1" x14ac:dyDescent="0.35">
      <c r="A471" s="116"/>
      <c r="B471" s="117"/>
      <c r="C471" s="117"/>
      <c r="D471" s="117" t="s">
        <v>36</v>
      </c>
      <c r="E471" s="117">
        <v>1</v>
      </c>
      <c r="F471" s="117">
        <v>0</v>
      </c>
      <c r="G471" s="117"/>
      <c r="H471" s="118"/>
      <c r="I471" s="65" t="s">
        <v>256</v>
      </c>
      <c r="J471" s="30"/>
      <c r="K471" s="30"/>
      <c r="L471" s="30"/>
      <c r="M471" s="30"/>
    </row>
    <row r="472" spans="1:13" s="68" customFormat="1" ht="17.25" customHeight="1" x14ac:dyDescent="0.35">
      <c r="A472" s="116"/>
      <c r="B472" s="117"/>
      <c r="C472" s="117"/>
      <c r="D472" s="117" t="s">
        <v>36</v>
      </c>
      <c r="E472" s="117">
        <v>2</v>
      </c>
      <c r="F472" s="117">
        <v>0</v>
      </c>
      <c r="G472" s="117"/>
      <c r="H472" s="118"/>
      <c r="I472" s="65" t="s">
        <v>257</v>
      </c>
      <c r="J472" s="30"/>
      <c r="K472" s="30"/>
      <c r="L472" s="30"/>
      <c r="M472" s="30"/>
    </row>
    <row r="473" spans="1:13" s="68" customFormat="1" ht="17.25" customHeight="1" x14ac:dyDescent="0.35">
      <c r="A473" s="116"/>
      <c r="B473" s="117"/>
      <c r="C473" s="117"/>
      <c r="D473" s="117" t="s">
        <v>36</v>
      </c>
      <c r="E473" s="117">
        <v>1</v>
      </c>
      <c r="F473" s="117">
        <v>0</v>
      </c>
      <c r="G473" s="117"/>
      <c r="H473" s="118"/>
      <c r="I473" s="65" t="s">
        <v>258</v>
      </c>
      <c r="J473" s="30"/>
      <c r="K473" s="30"/>
      <c r="L473" s="30"/>
      <c r="M473" s="30"/>
    </row>
    <row r="474" spans="1:13" s="68" customFormat="1" ht="17.25" customHeight="1" x14ac:dyDescent="0.35">
      <c r="A474" s="116"/>
      <c r="B474" s="117"/>
      <c r="C474" s="117"/>
      <c r="D474" s="117" t="s">
        <v>36</v>
      </c>
      <c r="E474" s="117">
        <v>1</v>
      </c>
      <c r="F474" s="117">
        <v>0</v>
      </c>
      <c r="G474" s="117"/>
      <c r="H474" s="118"/>
      <c r="I474" s="65" t="s">
        <v>259</v>
      </c>
      <c r="J474" s="30"/>
      <c r="K474" s="30"/>
      <c r="L474" s="30"/>
      <c r="M474" s="30"/>
    </row>
    <row r="475" spans="1:13" s="68" customFormat="1" ht="17.25" customHeight="1" x14ac:dyDescent="0.35">
      <c r="A475" s="116"/>
      <c r="B475" s="117"/>
      <c r="C475" s="117"/>
      <c r="D475" s="117" t="s">
        <v>36</v>
      </c>
      <c r="E475" s="117">
        <v>2</v>
      </c>
      <c r="F475" s="117">
        <v>0</v>
      </c>
      <c r="G475" s="117"/>
      <c r="H475" s="118"/>
      <c r="I475" s="65" t="s">
        <v>260</v>
      </c>
      <c r="J475" s="30"/>
      <c r="K475" s="30"/>
      <c r="L475" s="30"/>
      <c r="M475" s="30"/>
    </row>
    <row r="476" spans="1:13" s="68" customFormat="1" ht="17.25" customHeight="1" x14ac:dyDescent="0.35">
      <c r="A476" s="116"/>
      <c r="B476" s="117"/>
      <c r="C476" s="117"/>
      <c r="D476" s="117" t="s">
        <v>36</v>
      </c>
      <c r="E476" s="117">
        <v>1</v>
      </c>
      <c r="F476" s="117">
        <v>0</v>
      </c>
      <c r="G476" s="117"/>
      <c r="H476" s="118"/>
      <c r="I476" s="65" t="s">
        <v>261</v>
      </c>
      <c r="J476" s="30"/>
      <c r="K476" s="30"/>
      <c r="L476" s="30"/>
      <c r="M476" s="30"/>
    </row>
    <row r="477" spans="1:13" s="68" customFormat="1" ht="17.25" customHeight="1" x14ac:dyDescent="0.35">
      <c r="A477" s="116"/>
      <c r="B477" s="117"/>
      <c r="C477" s="117"/>
      <c r="D477" s="117" t="s">
        <v>36</v>
      </c>
      <c r="E477" s="117">
        <v>2</v>
      </c>
      <c r="F477" s="117">
        <v>0</v>
      </c>
      <c r="G477" s="117"/>
      <c r="H477" s="118"/>
      <c r="I477" s="65" t="s">
        <v>262</v>
      </c>
      <c r="J477" s="30"/>
      <c r="K477" s="30"/>
      <c r="L477" s="30"/>
      <c r="M477" s="30"/>
    </row>
    <row r="478" spans="1:13" s="68" customFormat="1" ht="17.25" customHeight="1" x14ac:dyDescent="0.35">
      <c r="A478" s="116"/>
      <c r="B478" s="117"/>
      <c r="C478" s="117"/>
      <c r="D478" s="117" t="s">
        <v>36</v>
      </c>
      <c r="E478" s="117">
        <v>1</v>
      </c>
      <c r="F478" s="117">
        <v>0</v>
      </c>
      <c r="G478" s="117"/>
      <c r="H478" s="118"/>
      <c r="I478" s="65" t="s">
        <v>263</v>
      </c>
      <c r="J478" s="30"/>
      <c r="K478" s="30"/>
      <c r="L478" s="30"/>
      <c r="M478" s="30"/>
    </row>
    <row r="479" spans="1:13" s="68" customFormat="1" ht="17.25" customHeight="1" x14ac:dyDescent="0.35">
      <c r="A479" s="116"/>
      <c r="B479" s="117"/>
      <c r="C479" s="117"/>
      <c r="D479" s="117" t="s">
        <v>36</v>
      </c>
      <c r="E479" s="117">
        <v>1</v>
      </c>
      <c r="F479" s="117">
        <v>0</v>
      </c>
      <c r="G479" s="117"/>
      <c r="H479" s="118"/>
      <c r="I479" s="65" t="s">
        <v>264</v>
      </c>
      <c r="J479" s="30"/>
      <c r="K479" s="30"/>
      <c r="L479" s="30"/>
      <c r="M479" s="30"/>
    </row>
    <row r="480" spans="1:13" s="68" customFormat="1" ht="17.25" customHeight="1" x14ac:dyDescent="0.35">
      <c r="A480" s="116"/>
      <c r="B480" s="117"/>
      <c r="C480" s="117"/>
      <c r="D480" s="117" t="s">
        <v>36</v>
      </c>
      <c r="E480" s="117">
        <v>2</v>
      </c>
      <c r="F480" s="117">
        <v>0</v>
      </c>
      <c r="G480" s="117"/>
      <c r="H480" s="118"/>
      <c r="I480" s="65" t="s">
        <v>265</v>
      </c>
      <c r="J480" s="30"/>
      <c r="K480" s="30"/>
      <c r="L480" s="30"/>
      <c r="M480" s="30"/>
    </row>
    <row r="481" spans="1:13" s="68" customFormat="1" ht="17.25" customHeight="1" x14ac:dyDescent="0.35">
      <c r="A481" s="116"/>
      <c r="B481" s="117"/>
      <c r="C481" s="117"/>
      <c r="D481" s="117" t="s">
        <v>36</v>
      </c>
      <c r="E481" s="117">
        <v>1</v>
      </c>
      <c r="F481" s="117">
        <v>0</v>
      </c>
      <c r="G481" s="117"/>
      <c r="H481" s="118"/>
      <c r="I481" s="65" t="s">
        <v>266</v>
      </c>
      <c r="J481" s="30"/>
      <c r="K481" s="30"/>
      <c r="L481" s="30"/>
      <c r="M481" s="30"/>
    </row>
    <row r="482" spans="1:13" s="68" customFormat="1" ht="17.25" customHeight="1" x14ac:dyDescent="0.35">
      <c r="A482" s="116"/>
      <c r="B482" s="117"/>
      <c r="C482" s="117"/>
      <c r="D482" s="117" t="s">
        <v>36</v>
      </c>
      <c r="E482" s="117">
        <v>2</v>
      </c>
      <c r="F482" s="117">
        <v>0</v>
      </c>
      <c r="G482" s="117"/>
      <c r="H482" s="118"/>
      <c r="I482" s="65" t="s">
        <v>267</v>
      </c>
      <c r="J482" s="30"/>
      <c r="K482" s="30"/>
      <c r="L482" s="30"/>
      <c r="M482" s="30"/>
    </row>
    <row r="483" spans="1:13" s="68" customFormat="1" ht="17.25" customHeight="1" x14ac:dyDescent="0.35">
      <c r="A483" s="116"/>
      <c r="B483" s="117"/>
      <c r="C483" s="117"/>
      <c r="D483" s="117" t="s">
        <v>36</v>
      </c>
      <c r="E483" s="117">
        <v>1</v>
      </c>
      <c r="F483" s="117">
        <v>0</v>
      </c>
      <c r="G483" s="117"/>
      <c r="H483" s="118"/>
      <c r="I483" s="65" t="s">
        <v>268</v>
      </c>
      <c r="J483" s="30"/>
      <c r="K483" s="30"/>
      <c r="L483" s="30"/>
      <c r="M483" s="30"/>
    </row>
    <row r="484" spans="1:13" s="68" customFormat="1" ht="17.25" customHeight="1" x14ac:dyDescent="0.35">
      <c r="A484" s="116"/>
      <c r="B484" s="117"/>
      <c r="C484" s="117"/>
      <c r="D484" s="117" t="s">
        <v>36</v>
      </c>
      <c r="E484" s="117">
        <v>1</v>
      </c>
      <c r="F484" s="117">
        <v>0</v>
      </c>
      <c r="G484" s="117"/>
      <c r="H484" s="118"/>
      <c r="I484" s="65" t="s">
        <v>269</v>
      </c>
      <c r="J484" s="30"/>
      <c r="K484" s="30"/>
      <c r="L484" s="30"/>
      <c r="M484" s="30"/>
    </row>
    <row r="485" spans="1:13" s="68" customFormat="1" ht="17.25" customHeight="1" x14ac:dyDescent="0.35">
      <c r="A485" s="116"/>
      <c r="B485" s="117"/>
      <c r="C485" s="117"/>
      <c r="D485" s="117" t="s">
        <v>36</v>
      </c>
      <c r="E485" s="117">
        <v>2</v>
      </c>
      <c r="F485" s="117">
        <v>0</v>
      </c>
      <c r="G485" s="117"/>
      <c r="H485" s="118"/>
      <c r="I485" s="65" t="s">
        <v>270</v>
      </c>
      <c r="J485" s="30"/>
      <c r="K485" s="30"/>
      <c r="L485" s="30"/>
      <c r="M485" s="30"/>
    </row>
    <row r="486" spans="1:13" s="68" customFormat="1" ht="17.25" customHeight="1" x14ac:dyDescent="0.35">
      <c r="A486" s="116"/>
      <c r="B486" s="117"/>
      <c r="C486" s="117"/>
      <c r="D486" s="117" t="s">
        <v>36</v>
      </c>
      <c r="E486" s="117">
        <v>1</v>
      </c>
      <c r="F486" s="117">
        <v>0</v>
      </c>
      <c r="G486" s="117"/>
      <c r="H486" s="118"/>
      <c r="I486" s="65" t="s">
        <v>271</v>
      </c>
      <c r="J486" s="30"/>
      <c r="K486" s="30"/>
      <c r="L486" s="30"/>
      <c r="M486" s="30"/>
    </row>
    <row r="487" spans="1:13" s="68" customFormat="1" ht="17.25" customHeight="1" x14ac:dyDescent="0.35">
      <c r="A487" s="116"/>
      <c r="B487" s="117"/>
      <c r="C487" s="117"/>
      <c r="D487" s="117" t="s">
        <v>36</v>
      </c>
      <c r="E487" s="117">
        <v>2</v>
      </c>
      <c r="F487" s="117">
        <v>0</v>
      </c>
      <c r="G487" s="117"/>
      <c r="H487" s="118"/>
      <c r="I487" s="65" t="s">
        <v>272</v>
      </c>
      <c r="J487" s="30"/>
      <c r="K487" s="30"/>
      <c r="L487" s="30"/>
      <c r="M487" s="30"/>
    </row>
    <row r="488" spans="1:13" s="68" customFormat="1" ht="17.25" customHeight="1" x14ac:dyDescent="0.35">
      <c r="A488" s="116"/>
      <c r="B488" s="117"/>
      <c r="C488" s="117"/>
      <c r="D488" s="117" t="s">
        <v>36</v>
      </c>
      <c r="E488" s="117">
        <v>1</v>
      </c>
      <c r="F488" s="117">
        <v>0</v>
      </c>
      <c r="G488" s="117"/>
      <c r="H488" s="118"/>
      <c r="I488" s="65" t="s">
        <v>273</v>
      </c>
      <c r="J488" s="30"/>
      <c r="K488" s="30"/>
      <c r="L488" s="30"/>
      <c r="M488" s="30"/>
    </row>
    <row r="489" spans="1:13" s="68" customFormat="1" ht="17.25" customHeight="1" x14ac:dyDescent="0.35">
      <c r="A489" s="116"/>
      <c r="B489" s="117"/>
      <c r="C489" s="117"/>
      <c r="D489" s="117" t="s">
        <v>36</v>
      </c>
      <c r="E489" s="117">
        <v>1</v>
      </c>
      <c r="F489" s="117">
        <v>0</v>
      </c>
      <c r="G489" s="117"/>
      <c r="H489" s="118"/>
      <c r="I489" s="65" t="s">
        <v>274</v>
      </c>
      <c r="J489" s="30"/>
      <c r="K489" s="30"/>
      <c r="L489" s="30"/>
      <c r="M489" s="30"/>
    </row>
    <row r="490" spans="1:13" s="68" customFormat="1" ht="17.25" customHeight="1" x14ac:dyDescent="0.35">
      <c r="A490" s="116"/>
      <c r="B490" s="117"/>
      <c r="C490" s="117"/>
      <c r="D490" s="117" t="s">
        <v>36</v>
      </c>
      <c r="E490" s="117">
        <v>2</v>
      </c>
      <c r="F490" s="117">
        <v>272</v>
      </c>
      <c r="G490" s="117"/>
      <c r="H490" s="118"/>
      <c r="I490" s="65" t="s">
        <v>275</v>
      </c>
      <c r="J490" s="30"/>
      <c r="K490" s="30"/>
      <c r="L490" s="30"/>
      <c r="M490" s="30"/>
    </row>
    <row r="491" spans="1:13" s="68" customFormat="1" ht="17.25" customHeight="1" x14ac:dyDescent="0.35">
      <c r="A491" s="116"/>
      <c r="B491" s="117"/>
      <c r="C491" s="117"/>
      <c r="D491" s="117" t="s">
        <v>36</v>
      </c>
      <c r="E491" s="117">
        <v>1</v>
      </c>
      <c r="F491" s="117">
        <v>48</v>
      </c>
      <c r="G491" s="117"/>
      <c r="H491" s="118"/>
      <c r="I491" s="65" t="s">
        <v>276</v>
      </c>
      <c r="J491" s="30"/>
      <c r="K491" s="30"/>
      <c r="L491" s="30"/>
      <c r="M491" s="30"/>
    </row>
    <row r="492" spans="1:13" s="68" customFormat="1" ht="17.25" customHeight="1" x14ac:dyDescent="0.35">
      <c r="A492" s="116"/>
      <c r="B492" s="117"/>
      <c r="C492" s="117"/>
      <c r="D492" s="117" t="s">
        <v>36</v>
      </c>
      <c r="E492" s="117">
        <v>2</v>
      </c>
      <c r="F492" s="117">
        <v>7</v>
      </c>
      <c r="G492" s="117"/>
      <c r="H492" s="118"/>
      <c r="I492" s="65" t="s">
        <v>277</v>
      </c>
      <c r="J492" s="30"/>
      <c r="K492" s="30"/>
      <c r="L492" s="30"/>
      <c r="M492" s="30"/>
    </row>
    <row r="493" spans="1:13" s="68" customFormat="1" ht="17.25" customHeight="1" x14ac:dyDescent="0.35">
      <c r="A493" s="116"/>
      <c r="B493" s="117"/>
      <c r="C493" s="117"/>
      <c r="D493" s="117" t="s">
        <v>36</v>
      </c>
      <c r="E493" s="117">
        <v>1</v>
      </c>
      <c r="F493" s="117">
        <v>136</v>
      </c>
      <c r="G493" s="117"/>
      <c r="H493" s="118"/>
      <c r="I493" s="65" t="s">
        <v>278</v>
      </c>
      <c r="J493" s="30"/>
      <c r="K493" s="30"/>
      <c r="L493" s="30"/>
      <c r="M493" s="30"/>
    </row>
    <row r="494" spans="1:13" s="68" customFormat="1" ht="17.25" customHeight="1" x14ac:dyDescent="0.35">
      <c r="A494" s="116"/>
      <c r="B494" s="117"/>
      <c r="C494" s="117"/>
      <c r="D494" s="117" t="s">
        <v>36</v>
      </c>
      <c r="E494" s="117">
        <v>1</v>
      </c>
      <c r="F494" s="117">
        <v>64</v>
      </c>
      <c r="G494" s="117"/>
      <c r="H494" s="118"/>
      <c r="I494" s="65" t="s">
        <v>279</v>
      </c>
      <c r="J494" s="30"/>
      <c r="K494" s="30"/>
      <c r="L494" s="30"/>
      <c r="M494" s="30"/>
    </row>
    <row r="495" spans="1:13" s="68" customFormat="1" ht="17.25" customHeight="1" x14ac:dyDescent="0.35">
      <c r="A495" s="116"/>
      <c r="B495" s="117"/>
      <c r="C495" s="117"/>
      <c r="D495" s="117" t="s">
        <v>36</v>
      </c>
      <c r="E495" s="117">
        <v>2</v>
      </c>
      <c r="F495" s="117">
        <v>20992</v>
      </c>
      <c r="G495" s="117"/>
      <c r="H495" s="118"/>
      <c r="I495" s="65" t="s">
        <v>280</v>
      </c>
      <c r="J495" s="30"/>
      <c r="K495" s="30"/>
      <c r="L495" s="30"/>
      <c r="M495" s="30"/>
    </row>
    <row r="496" spans="1:13" s="68" customFormat="1" ht="17.25" customHeight="1" x14ac:dyDescent="0.35">
      <c r="A496" s="116"/>
      <c r="B496" s="117"/>
      <c r="C496" s="117"/>
      <c r="D496" s="117" t="s">
        <v>36</v>
      </c>
      <c r="E496" s="117">
        <v>2</v>
      </c>
      <c r="F496" s="117">
        <v>0</v>
      </c>
      <c r="G496" s="117"/>
      <c r="H496" s="118"/>
      <c r="I496" s="65" t="s">
        <v>281</v>
      </c>
      <c r="J496" s="30"/>
      <c r="K496" s="30"/>
      <c r="L496" s="30"/>
      <c r="M496" s="30"/>
    </row>
    <row r="497" spans="1:13" s="68" customFormat="1" ht="17.25" customHeight="1" x14ac:dyDescent="0.35">
      <c r="A497" s="116"/>
      <c r="B497" s="117"/>
      <c r="C497" s="117"/>
      <c r="D497" s="117" t="s">
        <v>36</v>
      </c>
      <c r="E497" s="117">
        <v>2</v>
      </c>
      <c r="F497" s="117">
        <v>37376</v>
      </c>
      <c r="G497" s="117"/>
      <c r="H497" s="118"/>
      <c r="I497" s="65" t="s">
        <v>282</v>
      </c>
      <c r="J497" s="30"/>
      <c r="K497" s="30"/>
      <c r="L497" s="30"/>
      <c r="M497" s="30"/>
    </row>
    <row r="498" spans="1:13" s="68" customFormat="1" ht="17.25" customHeight="1" x14ac:dyDescent="0.35">
      <c r="A498" s="116"/>
      <c r="B498" s="117"/>
      <c r="C498" s="117"/>
      <c r="D498" s="117" t="s">
        <v>36</v>
      </c>
      <c r="E498" s="117">
        <v>2</v>
      </c>
      <c r="F498" s="117">
        <v>0</v>
      </c>
      <c r="G498" s="117"/>
      <c r="H498" s="118"/>
      <c r="I498" s="65" t="s">
        <v>283</v>
      </c>
      <c r="J498" s="30"/>
      <c r="K498" s="30"/>
      <c r="L498" s="30"/>
      <c r="M498" s="30"/>
    </row>
    <row r="499" spans="1:13" s="68" customFormat="1" ht="17.25" customHeight="1" x14ac:dyDescent="0.35">
      <c r="A499" s="116"/>
      <c r="B499" s="117"/>
      <c r="C499" s="117"/>
      <c r="D499" s="117" t="s">
        <v>36</v>
      </c>
      <c r="E499" s="117">
        <v>2</v>
      </c>
      <c r="F499" s="117">
        <v>0</v>
      </c>
      <c r="G499" s="117"/>
      <c r="H499" s="118"/>
      <c r="I499" s="65" t="s">
        <v>284</v>
      </c>
      <c r="J499" s="30"/>
      <c r="K499" s="30"/>
      <c r="L499" s="30"/>
      <c r="M499" s="30"/>
    </row>
    <row r="500" spans="1:13" s="68" customFormat="1" ht="17.25" customHeight="1" x14ac:dyDescent="0.35">
      <c r="A500" s="116"/>
      <c r="B500" s="117"/>
      <c r="C500" s="117"/>
      <c r="D500" s="117" t="s">
        <v>36</v>
      </c>
      <c r="E500" s="117">
        <v>2</v>
      </c>
      <c r="F500" s="117">
        <v>0</v>
      </c>
      <c r="G500" s="117"/>
      <c r="H500" s="118"/>
      <c r="I500" s="65" t="s">
        <v>285</v>
      </c>
      <c r="J500" s="30"/>
      <c r="K500" s="30"/>
      <c r="L500" s="30"/>
      <c r="M500" s="30"/>
    </row>
    <row r="501" spans="1:13" s="68" customFormat="1" ht="17.25" customHeight="1" x14ac:dyDescent="0.35">
      <c r="A501" s="116"/>
      <c r="B501" s="117"/>
      <c r="C501" s="117"/>
      <c r="D501" s="117" t="s">
        <v>36</v>
      </c>
      <c r="E501" s="117">
        <v>2</v>
      </c>
      <c r="F501" s="117">
        <v>0</v>
      </c>
      <c r="G501" s="117"/>
      <c r="H501" s="118"/>
      <c r="I501" s="65" t="s">
        <v>286</v>
      </c>
      <c r="J501" s="30"/>
      <c r="K501" s="30"/>
      <c r="L501" s="30"/>
      <c r="M501" s="30"/>
    </row>
    <row r="502" spans="1:13" s="68" customFormat="1" ht="17.25" customHeight="1" x14ac:dyDescent="0.35">
      <c r="A502" s="116"/>
      <c r="B502" s="117"/>
      <c r="C502" s="117"/>
      <c r="D502" s="117" t="s">
        <v>36</v>
      </c>
      <c r="E502" s="117">
        <v>2</v>
      </c>
      <c r="F502" s="117">
        <v>0</v>
      </c>
      <c r="G502" s="117"/>
      <c r="H502" s="118"/>
      <c r="I502" s="65" t="s">
        <v>287</v>
      </c>
      <c r="J502" s="30"/>
      <c r="K502" s="30"/>
      <c r="L502" s="30"/>
      <c r="M502" s="30"/>
    </row>
    <row r="503" spans="1:13" s="68" customFormat="1" ht="17.25" customHeight="1" x14ac:dyDescent="0.35">
      <c r="A503" s="116"/>
      <c r="B503" s="117"/>
      <c r="C503" s="117"/>
      <c r="D503" s="117" t="s">
        <v>36</v>
      </c>
      <c r="E503" s="117">
        <v>2</v>
      </c>
      <c r="F503" s="117">
        <v>0</v>
      </c>
      <c r="G503" s="117"/>
      <c r="H503" s="118"/>
      <c r="I503" s="65" t="s">
        <v>288</v>
      </c>
      <c r="J503" s="30"/>
      <c r="K503" s="30"/>
      <c r="L503" s="30"/>
      <c r="M503" s="30"/>
    </row>
    <row r="504" spans="1:13" s="68" customFormat="1" ht="17.25" customHeight="1" x14ac:dyDescent="0.35">
      <c r="A504" s="116"/>
      <c r="B504" s="117"/>
      <c r="C504" s="117"/>
      <c r="D504" s="117" t="s">
        <v>36</v>
      </c>
      <c r="E504" s="117">
        <v>2</v>
      </c>
      <c r="F504" s="117">
        <v>0</v>
      </c>
      <c r="G504" s="117"/>
      <c r="H504" s="118"/>
      <c r="I504" s="65" t="s">
        <v>289</v>
      </c>
      <c r="J504" s="30"/>
      <c r="K504" s="30"/>
      <c r="L504" s="30"/>
      <c r="M504" s="30"/>
    </row>
    <row r="505" spans="1:13" s="68" customFormat="1" ht="17.25" customHeight="1" x14ac:dyDescent="0.35">
      <c r="A505" s="116"/>
      <c r="B505" s="117"/>
      <c r="C505" s="117"/>
      <c r="D505" s="117" t="s">
        <v>36</v>
      </c>
      <c r="E505" s="117">
        <v>2</v>
      </c>
      <c r="F505" s="117">
        <v>0</v>
      </c>
      <c r="G505" s="117"/>
      <c r="H505" s="118"/>
      <c r="I505" s="65" t="s">
        <v>290</v>
      </c>
      <c r="J505" s="30"/>
      <c r="K505" s="30"/>
      <c r="L505" s="30"/>
      <c r="M505" s="30"/>
    </row>
    <row r="506" spans="1:13" s="68" customFormat="1" ht="17.25" customHeight="1" x14ac:dyDescent="0.35">
      <c r="A506" s="116"/>
      <c r="B506" s="117"/>
      <c r="C506" s="117"/>
      <c r="D506" s="117" t="s">
        <v>36</v>
      </c>
      <c r="E506" s="117">
        <v>2</v>
      </c>
      <c r="F506" s="117">
        <v>0</v>
      </c>
      <c r="G506" s="117"/>
      <c r="H506" s="118"/>
      <c r="I506" s="65" t="s">
        <v>291</v>
      </c>
      <c r="J506" s="30"/>
      <c r="K506" s="30"/>
      <c r="L506" s="30"/>
      <c r="M506" s="30"/>
    </row>
    <row r="507" spans="1:13" s="68" customFormat="1" ht="17.25" customHeight="1" x14ac:dyDescent="0.35">
      <c r="A507" s="116"/>
      <c r="B507" s="117"/>
      <c r="C507" s="117"/>
      <c r="D507" s="117" t="s">
        <v>36</v>
      </c>
      <c r="E507" s="117">
        <v>2</v>
      </c>
      <c r="F507" s="117">
        <v>0</v>
      </c>
      <c r="G507" s="117"/>
      <c r="H507" s="118"/>
      <c r="I507" s="65" t="s">
        <v>292</v>
      </c>
      <c r="J507" s="30"/>
      <c r="K507" s="30"/>
      <c r="L507" s="30"/>
      <c r="M507" s="30"/>
    </row>
    <row r="508" spans="1:13" s="68" customFormat="1" ht="17.25" customHeight="1" x14ac:dyDescent="0.35">
      <c r="A508" s="116"/>
      <c r="B508" s="117"/>
      <c r="C508" s="117"/>
      <c r="D508" s="117" t="s">
        <v>36</v>
      </c>
      <c r="E508" s="117">
        <v>2</v>
      </c>
      <c r="F508" s="117">
        <v>0</v>
      </c>
      <c r="G508" s="117"/>
      <c r="H508" s="118"/>
      <c r="I508" s="65" t="s">
        <v>293</v>
      </c>
      <c r="J508" s="30"/>
      <c r="K508" s="30"/>
      <c r="L508" s="30"/>
      <c r="M508" s="30"/>
    </row>
    <row r="509" spans="1:13" s="68" customFormat="1" ht="17.25" customHeight="1" x14ac:dyDescent="0.35">
      <c r="A509" s="116"/>
      <c r="B509" s="117"/>
      <c r="C509" s="117"/>
      <c r="D509" s="117" t="s">
        <v>36</v>
      </c>
      <c r="E509" s="117">
        <v>2</v>
      </c>
      <c r="F509" s="117">
        <v>0</v>
      </c>
      <c r="G509" s="117"/>
      <c r="H509" s="118"/>
      <c r="I509" s="65" t="s">
        <v>294</v>
      </c>
      <c r="J509" s="30"/>
      <c r="K509" s="30"/>
      <c r="L509" s="30"/>
      <c r="M509" s="30"/>
    </row>
    <row r="510" spans="1:13" s="68" customFormat="1" ht="17.25" customHeight="1" x14ac:dyDescent="0.35">
      <c r="A510" s="116"/>
      <c r="B510" s="117"/>
      <c r="C510" s="117"/>
      <c r="D510" s="117" t="s">
        <v>36</v>
      </c>
      <c r="E510" s="117">
        <v>2</v>
      </c>
      <c r="F510" s="117">
        <v>0</v>
      </c>
      <c r="G510" s="117"/>
      <c r="H510" s="118"/>
      <c r="I510" s="65" t="s">
        <v>295</v>
      </c>
      <c r="J510" s="30"/>
      <c r="K510" s="30"/>
      <c r="L510" s="30"/>
      <c r="M510" s="30"/>
    </row>
    <row r="511" spans="1:13" s="68" customFormat="1" ht="17.25" customHeight="1" x14ac:dyDescent="0.35">
      <c r="A511" s="116"/>
      <c r="B511" s="117"/>
      <c r="C511" s="117"/>
      <c r="D511" s="117" t="s">
        <v>36</v>
      </c>
      <c r="E511" s="117">
        <v>2</v>
      </c>
      <c r="F511" s="117">
        <v>0</v>
      </c>
      <c r="G511" s="117"/>
      <c r="H511" s="118"/>
      <c r="I511" s="65" t="s">
        <v>296</v>
      </c>
      <c r="J511" s="30"/>
      <c r="K511" s="30"/>
      <c r="L511" s="30"/>
      <c r="M511" s="30"/>
    </row>
    <row r="512" spans="1:13" s="68" customFormat="1" ht="17.25" customHeight="1" x14ac:dyDescent="0.35">
      <c r="A512" s="116"/>
      <c r="B512" s="117"/>
      <c r="C512" s="117"/>
      <c r="D512" s="117" t="s">
        <v>36</v>
      </c>
      <c r="E512" s="117">
        <v>2</v>
      </c>
      <c r="F512" s="117">
        <v>0</v>
      </c>
      <c r="G512" s="117"/>
      <c r="H512" s="118"/>
      <c r="I512" s="65" t="s">
        <v>297</v>
      </c>
      <c r="J512" s="30"/>
      <c r="K512" s="30"/>
      <c r="L512" s="30"/>
      <c r="M512" s="30"/>
    </row>
    <row r="513" spans="1:13" s="68" customFormat="1" ht="17.25" customHeight="1" x14ac:dyDescent="0.35">
      <c r="A513" s="116"/>
      <c r="B513" s="117"/>
      <c r="C513" s="117"/>
      <c r="D513" s="117" t="s">
        <v>36</v>
      </c>
      <c r="E513" s="117">
        <v>2</v>
      </c>
      <c r="F513" s="117">
        <v>0</v>
      </c>
      <c r="G513" s="117"/>
      <c r="H513" s="118"/>
      <c r="I513" s="65" t="s">
        <v>298</v>
      </c>
      <c r="J513" s="30"/>
      <c r="K513" s="30"/>
      <c r="L513" s="30"/>
      <c r="M513" s="30"/>
    </row>
    <row r="514" spans="1:13" s="68" customFormat="1" ht="17.25" customHeight="1" x14ac:dyDescent="0.35">
      <c r="A514" s="116"/>
      <c r="B514" s="117"/>
      <c r="C514" s="117"/>
      <c r="D514" s="117" t="s">
        <v>36</v>
      </c>
      <c r="E514" s="117">
        <v>2</v>
      </c>
      <c r="F514" s="117">
        <v>0</v>
      </c>
      <c r="G514" s="117"/>
      <c r="H514" s="118"/>
      <c r="I514" s="65" t="s">
        <v>299</v>
      </c>
      <c r="J514" s="30"/>
      <c r="K514" s="30"/>
      <c r="L514" s="30"/>
      <c r="M514" s="30"/>
    </row>
    <row r="515" spans="1:13" s="68" customFormat="1" ht="17.25" customHeight="1" x14ac:dyDescent="0.35">
      <c r="A515" s="116"/>
      <c r="B515" s="117"/>
      <c r="C515" s="117"/>
      <c r="D515" s="117" t="s">
        <v>36</v>
      </c>
      <c r="E515" s="117">
        <v>2</v>
      </c>
      <c r="F515" s="117">
        <v>0</v>
      </c>
      <c r="G515" s="117"/>
      <c r="H515" s="118"/>
      <c r="I515" s="65" t="s">
        <v>300</v>
      </c>
      <c r="J515" s="30"/>
      <c r="K515" s="30"/>
      <c r="L515" s="30"/>
      <c r="M515" s="30"/>
    </row>
    <row r="516" spans="1:13" s="68" customFormat="1" ht="17.25" customHeight="1" x14ac:dyDescent="0.35">
      <c r="A516" s="116"/>
      <c r="B516" s="117"/>
      <c r="C516" s="117"/>
      <c r="D516" s="117" t="s">
        <v>36</v>
      </c>
      <c r="E516" s="117">
        <v>1</v>
      </c>
      <c r="F516" s="117">
        <v>0</v>
      </c>
      <c r="G516" s="117"/>
      <c r="H516" s="118"/>
      <c r="I516" s="65" t="s">
        <v>301</v>
      </c>
      <c r="J516" s="30"/>
      <c r="K516" s="30"/>
      <c r="L516" s="30"/>
      <c r="M516" s="30"/>
    </row>
    <row r="517" spans="1:13" s="68" customFormat="1" ht="17.25" customHeight="1" x14ac:dyDescent="0.35">
      <c r="A517" s="116"/>
      <c r="B517" s="117"/>
      <c r="C517" s="117"/>
      <c r="D517" s="117" t="s">
        <v>36</v>
      </c>
      <c r="E517" s="117">
        <v>1</v>
      </c>
      <c r="F517" s="117">
        <v>0</v>
      </c>
      <c r="G517" s="117"/>
      <c r="H517" s="118"/>
      <c r="I517" s="65" t="s">
        <v>302</v>
      </c>
      <c r="J517" s="30"/>
      <c r="K517" s="30"/>
      <c r="L517" s="30"/>
      <c r="M517" s="30"/>
    </row>
    <row r="518" spans="1:13" s="68" customFormat="1" ht="17.25" customHeight="1" x14ac:dyDescent="0.35">
      <c r="A518" s="116"/>
      <c r="B518" s="117"/>
      <c r="C518" s="117"/>
      <c r="D518" s="117" t="s">
        <v>36</v>
      </c>
      <c r="E518" s="117">
        <v>1</v>
      </c>
      <c r="F518" s="117">
        <v>2</v>
      </c>
      <c r="G518" s="117"/>
      <c r="H518" s="118"/>
      <c r="I518" s="65" t="s">
        <v>303</v>
      </c>
      <c r="J518" s="30"/>
      <c r="K518" s="30"/>
      <c r="L518" s="30"/>
      <c r="M518" s="30"/>
    </row>
    <row r="519" spans="1:13" s="68" customFormat="1" ht="17.25" customHeight="1" x14ac:dyDescent="0.35">
      <c r="A519" s="116"/>
      <c r="B519" s="117"/>
      <c r="C519" s="117"/>
      <c r="D519" s="117" t="s">
        <v>36</v>
      </c>
      <c r="E519" s="117">
        <v>1</v>
      </c>
      <c r="F519" s="117">
        <v>0</v>
      </c>
      <c r="G519" s="117"/>
      <c r="H519" s="118"/>
      <c r="I519" s="65" t="s">
        <v>304</v>
      </c>
      <c r="J519" s="30"/>
      <c r="K519" s="30"/>
      <c r="L519" s="30"/>
      <c r="M519" s="30"/>
    </row>
    <row r="520" spans="1:13" s="68" customFormat="1" ht="17.25" customHeight="1" x14ac:dyDescent="0.35">
      <c r="A520" s="116"/>
      <c r="B520" s="117"/>
      <c r="C520" s="117"/>
      <c r="D520" s="117" t="s">
        <v>36</v>
      </c>
      <c r="E520" s="117">
        <v>1</v>
      </c>
      <c r="F520" s="117">
        <v>1</v>
      </c>
      <c r="G520" s="117"/>
      <c r="H520" s="118"/>
      <c r="I520" s="65" t="s">
        <v>305</v>
      </c>
      <c r="J520" s="30"/>
      <c r="K520" s="30"/>
      <c r="L520" s="30"/>
      <c r="M520" s="30"/>
    </row>
    <row r="521" spans="1:13" s="68" customFormat="1" ht="17.25" customHeight="1" x14ac:dyDescent="0.35">
      <c r="A521" s="116"/>
      <c r="B521" s="117"/>
      <c r="C521" s="117"/>
      <c r="D521" s="117" t="s">
        <v>36</v>
      </c>
      <c r="E521" s="117">
        <v>2</v>
      </c>
      <c r="F521" s="117">
        <v>32775</v>
      </c>
      <c r="G521" s="117"/>
      <c r="H521" s="118"/>
      <c r="I521" s="65" t="s">
        <v>306</v>
      </c>
      <c r="J521" s="30"/>
      <c r="K521" s="30"/>
      <c r="L521" s="30"/>
      <c r="M521" s="30"/>
    </row>
    <row r="522" spans="1:13" s="69" customFormat="1" ht="17.25" x14ac:dyDescent="0.35">
      <c r="A522" s="116"/>
      <c r="B522" s="117"/>
      <c r="C522" s="117"/>
      <c r="D522" s="117" t="s">
        <v>37</v>
      </c>
      <c r="E522" s="117">
        <v>50</v>
      </c>
      <c r="F522" s="117" t="s">
        <v>221</v>
      </c>
      <c r="G522" s="117"/>
      <c r="H522" s="118"/>
      <c r="I522" s="65" t="s">
        <v>307</v>
      </c>
      <c r="J522" s="66"/>
      <c r="K522" s="66"/>
      <c r="L522" s="66"/>
      <c r="M522" s="66"/>
    </row>
    <row r="523" spans="1:13" s="69" customFormat="1" ht="17.25" x14ac:dyDescent="0.35">
      <c r="A523" s="116"/>
      <c r="B523" s="117"/>
      <c r="C523" s="117"/>
      <c r="D523" s="117" t="s">
        <v>37</v>
      </c>
      <c r="E523" s="117">
        <v>50</v>
      </c>
      <c r="F523" s="117"/>
      <c r="G523" s="117"/>
      <c r="H523" s="118"/>
      <c r="I523" s="65" t="s">
        <v>308</v>
      </c>
      <c r="J523" s="66"/>
      <c r="K523" s="66"/>
      <c r="L523" s="66"/>
      <c r="M523" s="66"/>
    </row>
    <row r="524" spans="1:13" s="69" customFormat="1" ht="17.25" x14ac:dyDescent="0.35">
      <c r="A524" s="116"/>
      <c r="B524" s="117"/>
      <c r="C524" s="117"/>
      <c r="D524" s="117" t="s">
        <v>37</v>
      </c>
      <c r="E524" s="117">
        <v>50</v>
      </c>
      <c r="F524" s="117"/>
      <c r="G524" s="117"/>
      <c r="H524" s="118"/>
      <c r="I524" s="65" t="s">
        <v>309</v>
      </c>
      <c r="J524" s="66"/>
      <c r="K524" s="66"/>
      <c r="L524" s="66"/>
      <c r="M524" s="66"/>
    </row>
    <row r="525" spans="1:13" s="69" customFormat="1" ht="17.25" x14ac:dyDescent="0.35">
      <c r="A525" s="116"/>
      <c r="B525" s="117"/>
      <c r="C525" s="117"/>
      <c r="D525" s="117" t="s">
        <v>37</v>
      </c>
      <c r="E525" s="117">
        <v>754</v>
      </c>
      <c r="F525" s="117"/>
      <c r="G525" s="117"/>
      <c r="H525" s="118"/>
      <c r="I525" s="65" t="s">
        <v>222</v>
      </c>
      <c r="J525" s="66"/>
      <c r="K525" s="66"/>
      <c r="L525" s="66"/>
      <c r="M525" s="66"/>
    </row>
    <row r="526" spans="1:13" s="69" customFormat="1" ht="17.25" x14ac:dyDescent="0.35">
      <c r="A526" s="116" t="s">
        <v>357</v>
      </c>
      <c r="B526" s="117" t="s">
        <v>358</v>
      </c>
      <c r="C526" s="117" t="s">
        <v>58</v>
      </c>
      <c r="D526" s="117"/>
      <c r="E526" s="117"/>
      <c r="F526" s="117"/>
      <c r="G526" s="117" t="s">
        <v>591</v>
      </c>
      <c r="H526" s="118"/>
      <c r="I526" s="65">
        <v>71581</v>
      </c>
      <c r="J526" s="66"/>
      <c r="K526" s="66"/>
      <c r="L526" s="66"/>
      <c r="M526" s="66"/>
    </row>
    <row r="527" spans="1:13" s="69" customFormat="1" ht="17.25" x14ac:dyDescent="0.35">
      <c r="A527" s="116"/>
      <c r="B527" s="117"/>
      <c r="C527" s="117"/>
      <c r="D527" s="117" t="s">
        <v>36</v>
      </c>
      <c r="E527" s="117">
        <v>1</v>
      </c>
      <c r="F527" s="117"/>
      <c r="G527" s="117"/>
      <c r="H527" s="118"/>
      <c r="I527" s="65" t="s">
        <v>223</v>
      </c>
      <c r="J527" s="66"/>
      <c r="K527" s="66"/>
      <c r="L527" s="66"/>
      <c r="M527" s="66"/>
    </row>
    <row r="528" spans="1:13" s="69" customFormat="1" ht="17.25" x14ac:dyDescent="0.35">
      <c r="A528" s="116"/>
      <c r="B528" s="117"/>
      <c r="C528" s="117"/>
      <c r="D528" s="117" t="s">
        <v>36</v>
      </c>
      <c r="E528" s="117">
        <v>4</v>
      </c>
      <c r="F528" s="117"/>
      <c r="G528" s="117"/>
      <c r="H528" s="118"/>
      <c r="I528" s="65" t="s">
        <v>359</v>
      </c>
      <c r="J528" s="66"/>
      <c r="K528" s="66"/>
      <c r="L528" s="66"/>
      <c r="M528" s="66"/>
    </row>
    <row r="529" spans="1:13" s="69" customFormat="1" ht="17.25" x14ac:dyDescent="0.35">
      <c r="A529" s="116"/>
      <c r="B529" s="117"/>
      <c r="C529" s="117"/>
      <c r="D529" s="117" t="s">
        <v>36</v>
      </c>
      <c r="E529" s="117">
        <v>4</v>
      </c>
      <c r="F529" s="117"/>
      <c r="G529" s="117"/>
      <c r="H529" s="118"/>
      <c r="I529" s="65" t="s">
        <v>360</v>
      </c>
      <c r="J529" s="66"/>
      <c r="K529" s="66"/>
      <c r="L529" s="66"/>
      <c r="M529" s="66"/>
    </row>
    <row r="530" spans="1:13" s="67" customFormat="1" ht="17.25" x14ac:dyDescent="0.35">
      <c r="A530" s="116"/>
      <c r="B530" s="117"/>
      <c r="C530" s="117"/>
      <c r="D530" s="117" t="s">
        <v>36</v>
      </c>
      <c r="E530" s="117">
        <v>2</v>
      </c>
      <c r="F530" s="117"/>
      <c r="G530" s="117"/>
      <c r="H530" s="118"/>
      <c r="I530" s="65" t="s">
        <v>361</v>
      </c>
      <c r="J530" s="66"/>
      <c r="K530" s="66"/>
      <c r="L530" s="66"/>
      <c r="M530" s="66"/>
    </row>
    <row r="531" spans="1:13" s="69" customFormat="1" ht="17.25" x14ac:dyDescent="0.35">
      <c r="A531" s="116"/>
      <c r="B531" s="117"/>
      <c r="C531" s="117"/>
      <c r="D531" s="117" t="s">
        <v>36</v>
      </c>
      <c r="E531" s="117">
        <v>2</v>
      </c>
      <c r="F531" s="117"/>
      <c r="G531" s="117"/>
      <c r="H531" s="118"/>
      <c r="I531" s="65" t="s">
        <v>362</v>
      </c>
      <c r="J531" s="66"/>
      <c r="K531" s="66"/>
      <c r="L531" s="66"/>
      <c r="M531" s="66"/>
    </row>
    <row r="532" spans="1:13" s="69" customFormat="1" ht="17.25" x14ac:dyDescent="0.35">
      <c r="A532" s="116"/>
      <c r="B532" s="117"/>
      <c r="C532" s="117"/>
      <c r="D532" s="117" t="s">
        <v>36</v>
      </c>
      <c r="E532" s="117">
        <v>499</v>
      </c>
      <c r="F532" s="117"/>
      <c r="G532" s="117"/>
      <c r="H532" s="118"/>
      <c r="I532" s="65" t="s">
        <v>363</v>
      </c>
      <c r="J532" s="66"/>
      <c r="K532" s="66"/>
      <c r="L532" s="66"/>
      <c r="M532" s="66"/>
    </row>
    <row r="533" spans="1:13" s="69" customFormat="1" ht="17.25" x14ac:dyDescent="0.35">
      <c r="A533" s="116" t="s">
        <v>769</v>
      </c>
      <c r="B533" s="117" t="s">
        <v>444</v>
      </c>
      <c r="C533" s="117" t="s">
        <v>58</v>
      </c>
      <c r="D533" s="117"/>
      <c r="E533" s="117"/>
      <c r="F533" s="117"/>
      <c r="G533" s="117" t="s">
        <v>591</v>
      </c>
      <c r="H533" s="118"/>
      <c r="I533" s="65">
        <v>71544</v>
      </c>
      <c r="J533" s="66"/>
      <c r="K533" s="66"/>
      <c r="L533" s="66"/>
      <c r="M533" s="66"/>
    </row>
    <row r="534" spans="1:13" s="69" customFormat="1" ht="17.25" x14ac:dyDescent="0.35">
      <c r="A534" s="116"/>
      <c r="B534" s="117"/>
      <c r="C534" s="117"/>
      <c r="D534" s="117" t="s">
        <v>36</v>
      </c>
      <c r="E534" s="117">
        <v>1</v>
      </c>
      <c r="F534" s="117">
        <v>0</v>
      </c>
      <c r="G534" s="117"/>
      <c r="H534" s="118"/>
      <c r="I534" s="65" t="s">
        <v>173</v>
      </c>
      <c r="J534" s="66"/>
      <c r="K534" s="66"/>
      <c r="L534" s="66"/>
      <c r="M534" s="66"/>
    </row>
    <row r="535" spans="1:13" s="69" customFormat="1" ht="17.25" x14ac:dyDescent="0.35">
      <c r="A535" s="116"/>
      <c r="B535" s="117"/>
      <c r="C535" s="117"/>
      <c r="D535" s="117" t="s">
        <v>37</v>
      </c>
      <c r="E535" s="117">
        <v>24</v>
      </c>
      <c r="F535" s="117"/>
      <c r="G535" s="117"/>
      <c r="H535" s="118"/>
      <c r="I535" s="65" t="s">
        <v>445</v>
      </c>
      <c r="J535" s="66"/>
      <c r="K535" s="66"/>
      <c r="L535" s="66"/>
      <c r="M535" s="66"/>
    </row>
    <row r="536" spans="1:13" s="69" customFormat="1" ht="17.25" x14ac:dyDescent="0.35">
      <c r="A536" s="116"/>
      <c r="B536" s="117"/>
      <c r="C536" s="117"/>
      <c r="D536" s="117" t="s">
        <v>37</v>
      </c>
      <c r="E536" s="117">
        <v>7</v>
      </c>
      <c r="F536" s="117"/>
      <c r="G536" s="117"/>
      <c r="H536" s="118"/>
      <c r="I536" s="65" t="s">
        <v>665</v>
      </c>
      <c r="J536" s="66"/>
      <c r="K536" s="66"/>
      <c r="L536" s="66"/>
      <c r="M536" s="66"/>
    </row>
    <row r="537" spans="1:13" s="69" customFormat="1" ht="17.25" x14ac:dyDescent="0.35">
      <c r="A537" s="116" t="s">
        <v>345</v>
      </c>
      <c r="B537" s="117" t="s">
        <v>346</v>
      </c>
      <c r="C537" s="117" t="s">
        <v>58</v>
      </c>
      <c r="D537" s="117"/>
      <c r="E537" s="117"/>
      <c r="F537" s="117"/>
      <c r="G537" s="117" t="s">
        <v>591</v>
      </c>
      <c r="H537" s="118"/>
      <c r="I537" s="65">
        <v>71540</v>
      </c>
      <c r="J537" s="66"/>
      <c r="K537" s="66"/>
      <c r="L537" s="66"/>
      <c r="M537" s="66"/>
    </row>
    <row r="538" spans="1:13" s="69" customFormat="1" ht="17.25" x14ac:dyDescent="0.35">
      <c r="A538" s="116"/>
      <c r="B538" s="117"/>
      <c r="C538" s="117"/>
      <c r="D538" s="117" t="s">
        <v>36</v>
      </c>
      <c r="E538" s="117">
        <v>1</v>
      </c>
      <c r="F538" s="117">
        <v>0</v>
      </c>
      <c r="G538" s="117"/>
      <c r="H538" s="118"/>
      <c r="I538" s="65" t="s">
        <v>173</v>
      </c>
      <c r="J538" s="66"/>
      <c r="K538" s="66"/>
      <c r="L538" s="66"/>
      <c r="M538" s="66"/>
    </row>
    <row r="539" spans="1:13" s="69" customFormat="1" ht="17.25" x14ac:dyDescent="0.35">
      <c r="A539" s="116"/>
      <c r="B539" s="117"/>
      <c r="C539" s="117"/>
      <c r="D539" s="117" t="s">
        <v>36</v>
      </c>
      <c r="E539" s="117">
        <v>1</v>
      </c>
      <c r="F539" s="117">
        <v>0</v>
      </c>
      <c r="G539" s="117"/>
      <c r="H539" s="118"/>
      <c r="I539" s="65" t="s">
        <v>347</v>
      </c>
      <c r="J539" s="66"/>
      <c r="K539" s="66"/>
      <c r="L539" s="66"/>
      <c r="M539" s="66"/>
    </row>
    <row r="540" spans="1:13" s="69" customFormat="1" ht="17.25" x14ac:dyDescent="0.35">
      <c r="A540" s="116"/>
      <c r="B540" s="117"/>
      <c r="C540" s="117"/>
      <c r="D540" s="117" t="s">
        <v>36</v>
      </c>
      <c r="E540" s="117">
        <v>509</v>
      </c>
      <c r="F540" s="117"/>
      <c r="G540" s="117"/>
      <c r="H540" s="118"/>
      <c r="I540" s="65" t="s">
        <v>222</v>
      </c>
      <c r="J540" s="66"/>
      <c r="K540" s="66"/>
      <c r="L540" s="66"/>
      <c r="M540" s="66"/>
    </row>
    <row r="541" spans="1:13" s="69" customFormat="1" ht="33" customHeight="1" x14ac:dyDescent="0.35">
      <c r="A541" s="116" t="s">
        <v>446</v>
      </c>
      <c r="B541" s="117" t="s">
        <v>337</v>
      </c>
      <c r="C541" s="117" t="s">
        <v>58</v>
      </c>
      <c r="D541" s="117"/>
      <c r="E541" s="117"/>
      <c r="F541" s="117"/>
      <c r="G541" s="117" t="s">
        <v>591</v>
      </c>
      <c r="H541" s="118"/>
      <c r="I541" s="65">
        <v>71572</v>
      </c>
      <c r="J541" s="66"/>
      <c r="K541" s="66"/>
      <c r="L541" s="66"/>
      <c r="M541" s="66"/>
    </row>
    <row r="542" spans="1:13" s="70" customFormat="1" ht="17.25" x14ac:dyDescent="0.35">
      <c r="A542" s="116"/>
      <c r="B542" s="117"/>
      <c r="C542" s="117"/>
      <c r="D542" s="117" t="s">
        <v>36</v>
      </c>
      <c r="E542" s="117">
        <v>4</v>
      </c>
      <c r="F542" s="117">
        <v>10000</v>
      </c>
      <c r="G542" s="117"/>
      <c r="H542" s="118"/>
      <c r="I542" s="65" t="s">
        <v>447</v>
      </c>
      <c r="J542" s="30"/>
      <c r="K542" s="30"/>
      <c r="L542" s="30"/>
      <c r="M542" s="30"/>
    </row>
    <row r="543" spans="1:13" s="70" customFormat="1" ht="17.25" x14ac:dyDescent="0.35">
      <c r="A543" s="116" t="s">
        <v>448</v>
      </c>
      <c r="B543" s="117" t="s">
        <v>449</v>
      </c>
      <c r="C543" s="117" t="s">
        <v>58</v>
      </c>
      <c r="D543" s="117"/>
      <c r="E543" s="117"/>
      <c r="F543" s="117"/>
      <c r="G543" s="117" t="s">
        <v>591</v>
      </c>
      <c r="H543" s="118"/>
      <c r="I543" s="65">
        <v>65958</v>
      </c>
      <c r="J543" s="30"/>
      <c r="K543" s="30"/>
      <c r="L543" s="30"/>
      <c r="M543" s="30"/>
    </row>
    <row r="544" spans="1:13" s="70" customFormat="1" ht="17.25" x14ac:dyDescent="0.35">
      <c r="A544" s="116"/>
      <c r="B544" s="117"/>
      <c r="C544" s="117"/>
      <c r="D544" s="117" t="s">
        <v>36</v>
      </c>
      <c r="E544" s="117">
        <v>2</v>
      </c>
      <c r="F544" s="117">
        <v>0</v>
      </c>
      <c r="G544" s="117"/>
      <c r="H544" s="118"/>
      <c r="I544" s="65" t="s">
        <v>448</v>
      </c>
      <c r="J544" s="30"/>
      <c r="K544" s="30"/>
      <c r="L544" s="30"/>
      <c r="M544" s="30"/>
    </row>
    <row r="545" spans="1:13" s="70" customFormat="1" ht="17.25" x14ac:dyDescent="0.35">
      <c r="A545" s="116" t="s">
        <v>872</v>
      </c>
      <c r="B545" s="117" t="s">
        <v>873</v>
      </c>
      <c r="C545" s="117" t="s">
        <v>58</v>
      </c>
      <c r="D545" s="117"/>
      <c r="E545" s="117"/>
      <c r="F545" s="117"/>
      <c r="G545" s="117" t="s">
        <v>591</v>
      </c>
      <c r="H545" s="118"/>
      <c r="I545" s="65">
        <v>73717</v>
      </c>
      <c r="J545" s="30"/>
      <c r="K545" s="30"/>
      <c r="L545" s="30"/>
      <c r="M545" s="30"/>
    </row>
    <row r="546" spans="1:13" s="70" customFormat="1" ht="17.25" x14ac:dyDescent="0.35">
      <c r="A546" s="116"/>
      <c r="B546" s="117"/>
      <c r="C546" s="117"/>
      <c r="D546" s="117" t="s">
        <v>36</v>
      </c>
      <c r="E546" s="117">
        <v>1</v>
      </c>
      <c r="F546" s="117">
        <v>0</v>
      </c>
      <c r="G546" s="117"/>
      <c r="H546" s="118"/>
      <c r="I546" s="65" t="s">
        <v>872</v>
      </c>
      <c r="J546" s="30"/>
      <c r="K546" s="30"/>
      <c r="L546" s="30"/>
      <c r="M546" s="30"/>
    </row>
    <row r="547" spans="1:13" s="70" customFormat="1" ht="17.25" x14ac:dyDescent="0.35">
      <c r="A547" s="116" t="s">
        <v>450</v>
      </c>
      <c r="B547" s="117" t="s">
        <v>354</v>
      </c>
      <c r="C547" s="117" t="s">
        <v>58</v>
      </c>
      <c r="D547" s="117"/>
      <c r="E547" s="117"/>
      <c r="F547" s="117"/>
      <c r="G547" s="117" t="s">
        <v>591</v>
      </c>
      <c r="H547" s="118"/>
      <c r="I547" s="65">
        <v>72553</v>
      </c>
      <c r="J547" s="30"/>
      <c r="K547" s="30"/>
      <c r="L547" s="30"/>
      <c r="M547" s="30"/>
    </row>
    <row r="548" spans="1:13" s="70" customFormat="1" ht="17.25" x14ac:dyDescent="0.35">
      <c r="A548" s="116"/>
      <c r="B548" s="117"/>
      <c r="C548" s="117"/>
      <c r="D548" s="117" t="s">
        <v>36</v>
      </c>
      <c r="E548" s="117">
        <v>1</v>
      </c>
      <c r="F548" s="117">
        <v>0</v>
      </c>
      <c r="G548" s="117"/>
      <c r="H548" s="118"/>
      <c r="I548" s="65" t="s">
        <v>450</v>
      </c>
      <c r="J548" s="30"/>
      <c r="K548" s="30"/>
      <c r="L548" s="30"/>
      <c r="M548" s="30"/>
    </row>
    <row r="549" spans="1:13" s="70" customFormat="1" ht="17.25" x14ac:dyDescent="0.35">
      <c r="A549" s="116" t="s">
        <v>770</v>
      </c>
      <c r="B549" s="117" t="s">
        <v>352</v>
      </c>
      <c r="C549" s="117" t="s">
        <v>58</v>
      </c>
      <c r="D549" s="117"/>
      <c r="E549" s="117"/>
      <c r="F549" s="117"/>
      <c r="G549" s="117" t="s">
        <v>591</v>
      </c>
      <c r="H549" s="118"/>
      <c r="I549" s="65">
        <v>71597</v>
      </c>
      <c r="J549" s="30"/>
      <c r="K549" s="30"/>
      <c r="L549" s="30"/>
      <c r="M549" s="30"/>
    </row>
    <row r="550" spans="1:13" s="70" customFormat="1" ht="17.25" x14ac:dyDescent="0.35">
      <c r="A550" s="116"/>
      <c r="B550" s="117"/>
      <c r="C550" s="117"/>
      <c r="D550" s="117" t="s">
        <v>36</v>
      </c>
      <c r="E550" s="117">
        <v>1</v>
      </c>
      <c r="F550" s="117">
        <v>1</v>
      </c>
      <c r="G550" s="117"/>
      <c r="H550" s="118"/>
      <c r="I550" s="65" t="s">
        <v>173</v>
      </c>
      <c r="J550" s="30"/>
      <c r="K550" s="30"/>
      <c r="L550" s="30"/>
      <c r="M550" s="30"/>
    </row>
    <row r="551" spans="1:13" s="70" customFormat="1" ht="17.25" x14ac:dyDescent="0.35">
      <c r="A551" s="116"/>
      <c r="B551" s="117"/>
      <c r="C551" s="117"/>
      <c r="D551" s="117" t="s">
        <v>36</v>
      </c>
      <c r="E551" s="117">
        <v>1</v>
      </c>
      <c r="F551" s="117">
        <v>1</v>
      </c>
      <c r="G551" s="117"/>
      <c r="H551" s="118"/>
      <c r="I551" s="65" t="s">
        <v>353</v>
      </c>
      <c r="J551" s="30"/>
      <c r="K551" s="30"/>
      <c r="L551" s="30"/>
      <c r="M551" s="30"/>
    </row>
    <row r="552" spans="1:13" s="70" customFormat="1" ht="17.25" x14ac:dyDescent="0.35">
      <c r="A552" s="116"/>
      <c r="B552" s="117"/>
      <c r="C552" s="117"/>
      <c r="D552" s="117" t="s">
        <v>36</v>
      </c>
      <c r="E552" s="117">
        <v>1</v>
      </c>
      <c r="F552" s="117">
        <v>1</v>
      </c>
      <c r="G552" s="117"/>
      <c r="H552" s="118"/>
      <c r="I552" s="65" t="s">
        <v>771</v>
      </c>
      <c r="J552" s="30"/>
      <c r="K552" s="30"/>
      <c r="L552" s="30"/>
      <c r="M552" s="30"/>
    </row>
    <row r="553" spans="1:13" s="70" customFormat="1" ht="17.25" x14ac:dyDescent="0.35">
      <c r="A553" s="116"/>
      <c r="B553" s="117"/>
      <c r="C553" s="117"/>
      <c r="D553" s="117" t="s">
        <v>36</v>
      </c>
      <c r="E553" s="117">
        <v>1</v>
      </c>
      <c r="F553" s="117">
        <v>0</v>
      </c>
      <c r="G553" s="117"/>
      <c r="H553" s="118"/>
      <c r="I553" s="65" t="s">
        <v>772</v>
      </c>
      <c r="J553" s="30"/>
      <c r="K553" s="30"/>
      <c r="L553" s="30"/>
      <c r="M553" s="30"/>
    </row>
    <row r="554" spans="1:13" s="70" customFormat="1" ht="17.25" x14ac:dyDescent="0.35">
      <c r="A554" s="116"/>
      <c r="B554" s="117"/>
      <c r="C554" s="117"/>
      <c r="D554" s="117" t="s">
        <v>36</v>
      </c>
      <c r="E554" s="117">
        <v>1</v>
      </c>
      <c r="F554" s="117">
        <v>0</v>
      </c>
      <c r="G554" s="117"/>
      <c r="H554" s="118"/>
      <c r="I554" s="65" t="s">
        <v>773</v>
      </c>
      <c r="J554" s="30"/>
      <c r="K554" s="30"/>
      <c r="L554" s="30"/>
      <c r="M554" s="30"/>
    </row>
    <row r="555" spans="1:13" s="70" customFormat="1" ht="17.25" x14ac:dyDescent="0.35">
      <c r="A555" s="116"/>
      <c r="B555" s="117"/>
      <c r="C555" s="117"/>
      <c r="D555" s="117" t="s">
        <v>36</v>
      </c>
      <c r="E555" s="117">
        <v>27</v>
      </c>
      <c r="F555" s="117"/>
      <c r="G555" s="117"/>
      <c r="H555" s="118"/>
      <c r="I555" s="65" t="s">
        <v>222</v>
      </c>
      <c r="J555" s="30"/>
      <c r="K555" s="30"/>
      <c r="L555" s="30"/>
      <c r="M555" s="30"/>
    </row>
    <row r="556" spans="1:13" s="70" customFormat="1" ht="17.25" x14ac:dyDescent="0.35">
      <c r="A556" s="116" t="s">
        <v>891</v>
      </c>
      <c r="B556" s="117" t="s">
        <v>892</v>
      </c>
      <c r="C556" s="117" t="s">
        <v>58</v>
      </c>
      <c r="D556" s="117"/>
      <c r="E556" s="117"/>
      <c r="F556" s="117"/>
      <c r="G556" s="117" t="s">
        <v>591</v>
      </c>
      <c r="H556" s="118"/>
      <c r="I556" s="65">
        <v>73713</v>
      </c>
      <c r="J556" s="30"/>
      <c r="K556" s="30"/>
      <c r="L556" s="30"/>
      <c r="M556" s="30"/>
    </row>
    <row r="557" spans="1:13" s="70" customFormat="1" ht="17.25" x14ac:dyDescent="0.35">
      <c r="A557" s="116"/>
      <c r="B557" s="117"/>
      <c r="C557" s="117"/>
      <c r="D557" s="117" t="s">
        <v>36</v>
      </c>
      <c r="E557" s="117">
        <v>1</v>
      </c>
      <c r="F557" s="117">
        <v>1</v>
      </c>
      <c r="G557" s="117"/>
      <c r="H557" s="118"/>
      <c r="I557" s="65" t="s">
        <v>173</v>
      </c>
      <c r="J557" s="30"/>
      <c r="K557" s="30"/>
      <c r="L557" s="30"/>
      <c r="M557" s="30"/>
    </row>
    <row r="558" spans="1:13" s="70" customFormat="1" ht="17.25" x14ac:dyDescent="0.35">
      <c r="A558" s="116"/>
      <c r="B558" s="117"/>
      <c r="C558" s="117"/>
      <c r="D558" s="117" t="s">
        <v>36</v>
      </c>
      <c r="E558" s="117">
        <v>4</v>
      </c>
      <c r="F558" s="117">
        <v>0</v>
      </c>
      <c r="G558" s="117"/>
      <c r="H558" s="118"/>
      <c r="I558" s="65" t="s">
        <v>893</v>
      </c>
      <c r="J558" s="30"/>
      <c r="K558" s="30"/>
      <c r="L558" s="30"/>
      <c r="M558" s="30"/>
    </row>
    <row r="559" spans="1:13" s="70" customFormat="1" ht="17.25" x14ac:dyDescent="0.35">
      <c r="A559" s="116"/>
      <c r="B559" s="117"/>
      <c r="C559" s="117"/>
      <c r="D559" s="117" t="s">
        <v>36</v>
      </c>
      <c r="E559" s="117">
        <v>4</v>
      </c>
      <c r="F559" s="117">
        <v>0</v>
      </c>
      <c r="G559" s="117"/>
      <c r="H559" s="118"/>
      <c r="I559" s="65" t="s">
        <v>894</v>
      </c>
      <c r="J559" s="30"/>
      <c r="K559" s="30"/>
      <c r="L559" s="30"/>
      <c r="M559" s="30"/>
    </row>
    <row r="560" spans="1:13" s="70" customFormat="1" ht="17.25" x14ac:dyDescent="0.35">
      <c r="A560" s="116"/>
      <c r="B560" s="117"/>
      <c r="C560" s="117"/>
      <c r="D560" s="117" t="s">
        <v>36</v>
      </c>
      <c r="E560" s="117">
        <v>4</v>
      </c>
      <c r="F560" s="117">
        <v>0</v>
      </c>
      <c r="G560" s="117"/>
      <c r="H560" s="118"/>
      <c r="I560" s="65" t="s">
        <v>895</v>
      </c>
      <c r="J560" s="30"/>
      <c r="K560" s="30"/>
      <c r="L560" s="30"/>
      <c r="M560" s="30"/>
    </row>
    <row r="561" spans="1:13" s="70" customFormat="1" ht="17.25" x14ac:dyDescent="0.35">
      <c r="A561" s="116"/>
      <c r="B561" s="117"/>
      <c r="C561" s="117"/>
      <c r="D561" s="117" t="s">
        <v>36</v>
      </c>
      <c r="E561" s="117">
        <v>1</v>
      </c>
      <c r="F561" s="117">
        <v>0</v>
      </c>
      <c r="G561" s="117"/>
      <c r="H561" s="118"/>
      <c r="I561" s="65" t="s">
        <v>896</v>
      </c>
      <c r="J561" s="30"/>
      <c r="K561" s="30"/>
      <c r="L561" s="30"/>
      <c r="M561" s="30"/>
    </row>
    <row r="562" spans="1:13" s="70" customFormat="1" ht="17.25" x14ac:dyDescent="0.35">
      <c r="A562" s="116"/>
      <c r="B562" s="117"/>
      <c r="C562" s="117"/>
      <c r="D562" s="117" t="s">
        <v>36</v>
      </c>
      <c r="E562" s="117">
        <v>113</v>
      </c>
      <c r="F562" s="117"/>
      <c r="G562" s="117"/>
      <c r="H562" s="118"/>
      <c r="I562" s="65" t="s">
        <v>897</v>
      </c>
      <c r="J562" s="30"/>
      <c r="K562" s="30"/>
      <c r="L562" s="30"/>
      <c r="M562" s="30"/>
    </row>
    <row r="563" spans="1:13" s="70" customFormat="1" ht="17.25" x14ac:dyDescent="0.35">
      <c r="A563" s="123" t="s">
        <v>796</v>
      </c>
      <c r="B563" s="128" t="s">
        <v>797</v>
      </c>
      <c r="C563" s="124" t="s">
        <v>58</v>
      </c>
      <c r="D563" s="124"/>
      <c r="E563" s="125"/>
      <c r="F563" s="124"/>
      <c r="G563" s="117" t="s">
        <v>591</v>
      </c>
      <c r="H563" s="126"/>
      <c r="I563" s="127">
        <v>70235</v>
      </c>
      <c r="J563" s="30"/>
      <c r="K563" s="30"/>
      <c r="L563" s="30"/>
      <c r="M563" s="30"/>
    </row>
    <row r="564" spans="1:13" s="70" customFormat="1" ht="17.25" x14ac:dyDescent="0.35">
      <c r="A564" s="123"/>
      <c r="B564" s="125"/>
      <c r="C564" s="124"/>
      <c r="D564" s="124" t="s">
        <v>36</v>
      </c>
      <c r="E564" s="125">
        <v>1</v>
      </c>
      <c r="F564" s="124">
        <v>5</v>
      </c>
      <c r="G564" s="124"/>
      <c r="H564" s="126"/>
      <c r="I564" s="127" t="s">
        <v>211</v>
      </c>
      <c r="J564" s="30"/>
      <c r="K564" s="30"/>
      <c r="L564" s="30"/>
      <c r="M564" s="30"/>
    </row>
    <row r="565" spans="1:13" s="70" customFormat="1" ht="17.25" x14ac:dyDescent="0.35">
      <c r="A565" s="123"/>
      <c r="B565" s="125"/>
      <c r="C565" s="124"/>
      <c r="D565" s="124" t="s">
        <v>36</v>
      </c>
      <c r="E565" s="125">
        <v>2</v>
      </c>
      <c r="F565" s="124">
        <v>0</v>
      </c>
      <c r="G565" s="124"/>
      <c r="H565" s="126"/>
      <c r="I565" s="127" t="s">
        <v>798</v>
      </c>
      <c r="J565" s="30"/>
      <c r="K565" s="30"/>
      <c r="L565" s="30"/>
      <c r="M565" s="30"/>
    </row>
    <row r="566" spans="1:13" s="70" customFormat="1" ht="17.25" x14ac:dyDescent="0.35">
      <c r="A566" s="123"/>
      <c r="B566" s="125"/>
      <c r="C566" s="124"/>
      <c r="D566" s="124" t="s">
        <v>36</v>
      </c>
      <c r="E566" s="125">
        <v>2</v>
      </c>
      <c r="F566" s="124">
        <v>0</v>
      </c>
      <c r="G566" s="124"/>
      <c r="H566" s="126"/>
      <c r="I566" s="127" t="s">
        <v>799</v>
      </c>
      <c r="J566" s="30"/>
      <c r="K566" s="30"/>
      <c r="L566" s="30"/>
      <c r="M566" s="30"/>
    </row>
    <row r="567" spans="1:13" s="70" customFormat="1" ht="17.25" x14ac:dyDescent="0.35">
      <c r="A567" s="123"/>
      <c r="B567" s="125"/>
      <c r="C567" s="124"/>
      <c r="D567" s="124" t="s">
        <v>36</v>
      </c>
      <c r="E567" s="125">
        <v>2</v>
      </c>
      <c r="F567" s="124">
        <v>0</v>
      </c>
      <c r="G567" s="124"/>
      <c r="H567" s="126"/>
      <c r="I567" s="127" t="s">
        <v>800</v>
      </c>
      <c r="J567" s="30"/>
      <c r="K567" s="30"/>
      <c r="L567" s="30"/>
      <c r="M567" s="30"/>
    </row>
    <row r="568" spans="1:13" s="70" customFormat="1" ht="17.25" x14ac:dyDescent="0.35">
      <c r="A568" s="123"/>
      <c r="B568" s="125"/>
      <c r="C568" s="124"/>
      <c r="D568" s="124" t="s">
        <v>36</v>
      </c>
      <c r="E568" s="125">
        <v>1</v>
      </c>
      <c r="F568" s="124">
        <v>0</v>
      </c>
      <c r="G568" s="124"/>
      <c r="H568" s="126"/>
      <c r="I568" s="127" t="s">
        <v>801</v>
      </c>
      <c r="J568" s="30"/>
      <c r="K568" s="30"/>
      <c r="L568" s="30"/>
      <c r="M568" s="30"/>
    </row>
    <row r="569" spans="1:13" s="70" customFormat="1" ht="17.25" x14ac:dyDescent="0.35">
      <c r="A569" s="123"/>
      <c r="B569" s="125"/>
      <c r="C569" s="124"/>
      <c r="D569" s="124" t="s">
        <v>36</v>
      </c>
      <c r="E569" s="125">
        <v>2</v>
      </c>
      <c r="F569" s="124">
        <v>0</v>
      </c>
      <c r="G569" s="124"/>
      <c r="H569" s="126"/>
      <c r="I569" s="127" t="s">
        <v>802</v>
      </c>
      <c r="J569" s="30"/>
      <c r="K569" s="30"/>
      <c r="L569" s="30"/>
      <c r="M569" s="30"/>
    </row>
    <row r="570" spans="1:13" s="70" customFormat="1" ht="17.25" x14ac:dyDescent="0.35">
      <c r="A570" s="123"/>
      <c r="B570" s="125"/>
      <c r="C570" s="124"/>
      <c r="D570" s="124" t="s">
        <v>36</v>
      </c>
      <c r="E570" s="125">
        <v>2</v>
      </c>
      <c r="F570" s="124">
        <v>0</v>
      </c>
      <c r="G570" s="124"/>
      <c r="H570" s="126"/>
      <c r="I570" s="127" t="s">
        <v>803</v>
      </c>
      <c r="J570" s="30"/>
      <c r="K570" s="30"/>
      <c r="L570" s="30"/>
      <c r="M570" s="30"/>
    </row>
    <row r="571" spans="1:13" s="70" customFormat="1" ht="17.25" x14ac:dyDescent="0.35">
      <c r="A571" s="123"/>
      <c r="B571" s="125"/>
      <c r="C571" s="124"/>
      <c r="D571" s="124" t="s">
        <v>36</v>
      </c>
      <c r="E571" s="125">
        <v>1</v>
      </c>
      <c r="F571" s="124">
        <v>2</v>
      </c>
      <c r="G571" s="124"/>
      <c r="H571" s="126"/>
      <c r="I571" s="127" t="s">
        <v>804</v>
      </c>
      <c r="J571" s="30"/>
      <c r="K571" s="30"/>
      <c r="L571" s="30"/>
      <c r="M571" s="30"/>
    </row>
    <row r="572" spans="1:13" s="70" customFormat="1" ht="17.25" x14ac:dyDescent="0.35">
      <c r="A572" s="123"/>
      <c r="B572" s="125"/>
      <c r="C572" s="124"/>
      <c r="D572" s="124" t="s">
        <v>36</v>
      </c>
      <c r="E572" s="125">
        <v>1011</v>
      </c>
      <c r="F572" s="124"/>
      <c r="G572" s="124"/>
      <c r="H572" s="126"/>
      <c r="I572" s="127" t="s">
        <v>222</v>
      </c>
      <c r="J572" s="30"/>
      <c r="K572" s="30"/>
      <c r="L572" s="30"/>
      <c r="M572" s="30"/>
    </row>
    <row r="573" spans="1:13" s="70" customFormat="1" ht="17.25" x14ac:dyDescent="0.35">
      <c r="A573" s="116" t="s">
        <v>453</v>
      </c>
      <c r="B573" s="117" t="s">
        <v>454</v>
      </c>
      <c r="C573" s="117" t="s">
        <v>58</v>
      </c>
      <c r="D573" s="117"/>
      <c r="E573" s="117"/>
      <c r="F573" s="117"/>
      <c r="G573" s="117" t="s">
        <v>591</v>
      </c>
      <c r="H573" s="118"/>
      <c r="I573" s="65">
        <v>69689</v>
      </c>
      <c r="J573" s="30"/>
      <c r="K573" s="30"/>
      <c r="L573" s="30"/>
      <c r="M573" s="30"/>
    </row>
    <row r="574" spans="1:13" s="70" customFormat="1" ht="17.25" x14ac:dyDescent="0.35">
      <c r="A574" s="116"/>
      <c r="B574" s="117"/>
      <c r="C574" s="117"/>
      <c r="D574" s="117" t="s">
        <v>37</v>
      </c>
      <c r="E574" s="117">
        <v>1024</v>
      </c>
      <c r="F574" s="117" t="s">
        <v>470</v>
      </c>
      <c r="G574" s="117"/>
      <c r="H574" s="118"/>
      <c r="I574" s="65" t="s">
        <v>455</v>
      </c>
      <c r="J574" s="30"/>
      <c r="K574" s="30"/>
      <c r="L574" s="30"/>
      <c r="M574" s="30"/>
    </row>
    <row r="575" spans="1:13" s="70" customFormat="1" ht="17.25" x14ac:dyDescent="0.35">
      <c r="A575" s="116" t="s">
        <v>774</v>
      </c>
      <c r="B575" s="117" t="s">
        <v>775</v>
      </c>
      <c r="C575" s="117" t="s">
        <v>58</v>
      </c>
      <c r="D575" s="117"/>
      <c r="E575" s="117"/>
      <c r="F575" s="117"/>
      <c r="G575" s="117" t="s">
        <v>591</v>
      </c>
      <c r="H575" s="118"/>
      <c r="I575" s="65">
        <v>67283</v>
      </c>
      <c r="J575" s="30"/>
      <c r="K575" s="30"/>
      <c r="L575" s="30"/>
      <c r="M575" s="30"/>
    </row>
    <row r="576" spans="1:13" s="70" customFormat="1" ht="17.25" x14ac:dyDescent="0.35">
      <c r="A576" s="116"/>
      <c r="B576" s="117"/>
      <c r="C576" s="117"/>
      <c r="D576" s="117" t="s">
        <v>36</v>
      </c>
      <c r="E576" s="117">
        <v>1</v>
      </c>
      <c r="F576" s="117">
        <v>1</v>
      </c>
      <c r="G576" s="117"/>
      <c r="H576" s="118"/>
      <c r="I576" s="65" t="s">
        <v>776</v>
      </c>
      <c r="J576" s="30"/>
      <c r="K576" s="30"/>
      <c r="L576" s="30"/>
      <c r="M576" s="30"/>
    </row>
    <row r="577" spans="1:13" s="70" customFormat="1" ht="17.25" x14ac:dyDescent="0.35">
      <c r="A577" s="116" t="s">
        <v>777</v>
      </c>
      <c r="B577" s="117" t="s">
        <v>778</v>
      </c>
      <c r="C577" s="117" t="s">
        <v>58</v>
      </c>
      <c r="D577" s="117"/>
      <c r="E577" s="117"/>
      <c r="F577" s="117"/>
      <c r="G577" s="117" t="s">
        <v>591</v>
      </c>
      <c r="H577" s="118"/>
      <c r="I577" s="65">
        <v>67284</v>
      </c>
      <c r="J577" s="30"/>
      <c r="K577" s="30"/>
      <c r="L577" s="30"/>
      <c r="M577" s="30"/>
    </row>
    <row r="578" spans="1:13" s="70" customFormat="1" ht="17.25" x14ac:dyDescent="0.35">
      <c r="A578" s="116"/>
      <c r="B578" s="117"/>
      <c r="C578" s="117"/>
      <c r="D578" s="117" t="s">
        <v>36</v>
      </c>
      <c r="E578" s="117">
        <v>1</v>
      </c>
      <c r="F578" s="117">
        <v>1</v>
      </c>
      <c r="G578" s="117"/>
      <c r="H578" s="118"/>
      <c r="I578" s="65" t="s">
        <v>779</v>
      </c>
      <c r="J578" s="30"/>
      <c r="K578" s="30"/>
      <c r="L578" s="30"/>
      <c r="M578" s="30"/>
    </row>
    <row r="579" spans="1:13" s="70" customFormat="1" ht="17.25" x14ac:dyDescent="0.35">
      <c r="A579" s="116"/>
      <c r="B579" s="117"/>
      <c r="C579" s="117"/>
      <c r="D579" s="117"/>
      <c r="E579" s="117"/>
      <c r="F579" s="117"/>
      <c r="G579" s="117"/>
      <c r="H579" s="118"/>
      <c r="I579" s="74"/>
      <c r="J579" s="30"/>
      <c r="K579" s="30"/>
      <c r="L579" s="30"/>
      <c r="M579" s="30"/>
    </row>
    <row r="580" spans="1:13" s="64" customFormat="1" ht="17.25" x14ac:dyDescent="0.35">
      <c r="A580" s="116" t="s">
        <v>780</v>
      </c>
      <c r="B580" s="117" t="s">
        <v>781</v>
      </c>
      <c r="C580" s="117" t="s">
        <v>488</v>
      </c>
      <c r="D580" s="117"/>
      <c r="E580" s="117"/>
      <c r="F580" s="117"/>
      <c r="G580" s="117" t="s">
        <v>591</v>
      </c>
      <c r="H580" s="118" t="s">
        <v>782</v>
      </c>
      <c r="I580" s="65"/>
      <c r="J580" s="13"/>
      <c r="K580" s="13"/>
      <c r="L580" s="13"/>
      <c r="M580" s="13"/>
    </row>
    <row r="581" spans="1:13" ht="27.75" x14ac:dyDescent="0.35">
      <c r="A581" s="116" t="s">
        <v>578</v>
      </c>
      <c r="B581" s="117" t="s">
        <v>579</v>
      </c>
      <c r="C581" s="117" t="s">
        <v>488</v>
      </c>
      <c r="D581" s="117"/>
      <c r="E581" s="117"/>
      <c r="F581" s="117"/>
      <c r="G581" s="117" t="s">
        <v>44</v>
      </c>
      <c r="H581" s="118" t="s">
        <v>582</v>
      </c>
      <c r="I581" s="71">
        <v>69736</v>
      </c>
      <c r="J581" s="26"/>
      <c r="K581" s="26"/>
      <c r="L581" s="26"/>
      <c r="M581" s="26"/>
    </row>
    <row r="582" spans="1:13" ht="17.25" x14ac:dyDescent="0.35">
      <c r="A582" s="116" t="s">
        <v>580</v>
      </c>
      <c r="B582" s="117" t="s">
        <v>581</v>
      </c>
      <c r="C582" s="117" t="s">
        <v>488</v>
      </c>
      <c r="D582" s="117"/>
      <c r="E582" s="117"/>
      <c r="F582" s="117"/>
      <c r="G582" s="117" t="s">
        <v>44</v>
      </c>
      <c r="H582" s="118" t="s">
        <v>583</v>
      </c>
      <c r="I582" s="71">
        <v>69737</v>
      </c>
      <c r="J582" s="26"/>
      <c r="K582" s="26"/>
      <c r="L582" s="26"/>
      <c r="M582" s="26"/>
    </row>
    <row r="583" spans="1:13" ht="17.25" x14ac:dyDescent="0.35">
      <c r="A583" s="135" t="s">
        <v>920</v>
      </c>
      <c r="B583" s="136" t="s">
        <v>921</v>
      </c>
      <c r="C583" s="136" t="s">
        <v>488</v>
      </c>
      <c r="D583" s="136"/>
      <c r="E583" s="136"/>
      <c r="F583" s="136"/>
      <c r="G583" s="136" t="s">
        <v>591</v>
      </c>
      <c r="H583" s="137" t="s">
        <v>922</v>
      </c>
      <c r="I583" s="71"/>
      <c r="J583" s="26"/>
      <c r="K583" s="26"/>
      <c r="L583" s="26"/>
      <c r="M583" s="26"/>
    </row>
    <row r="584" spans="1:13" ht="17.25" x14ac:dyDescent="0.35">
      <c r="A584" s="135" t="s">
        <v>965</v>
      </c>
      <c r="B584" s="136" t="s">
        <v>966</v>
      </c>
      <c r="C584" s="136" t="s">
        <v>58</v>
      </c>
      <c r="D584" s="136"/>
      <c r="E584" s="136"/>
      <c r="F584" s="136"/>
      <c r="G584" s="136" t="s">
        <v>591</v>
      </c>
      <c r="H584" s="137"/>
      <c r="I584" s="71">
        <v>65633</v>
      </c>
      <c r="J584" s="26"/>
      <c r="K584" s="26"/>
      <c r="L584" s="26"/>
      <c r="M584" s="26"/>
    </row>
    <row r="585" spans="1:13" ht="17.25" x14ac:dyDescent="0.35">
      <c r="A585" s="135"/>
      <c r="B585" s="136"/>
      <c r="C585" s="136"/>
      <c r="D585" s="136" t="s">
        <v>36</v>
      </c>
      <c r="E585" s="136">
        <v>8</v>
      </c>
      <c r="F585" s="136" t="s">
        <v>967</v>
      </c>
      <c r="G585" s="136"/>
      <c r="H585" s="137"/>
      <c r="I585" s="71" t="s">
        <v>968</v>
      </c>
      <c r="J585" s="26"/>
      <c r="K585" s="26"/>
      <c r="L585" s="26"/>
      <c r="M585" s="26"/>
    </row>
    <row r="586" spans="1:13" s="26" customFormat="1" ht="18" thickBot="1" x14ac:dyDescent="0.4">
      <c r="A586" s="119"/>
      <c r="B586" s="120"/>
      <c r="C586" s="120"/>
      <c r="D586" s="120"/>
      <c r="E586" s="120"/>
      <c r="F586" s="120"/>
      <c r="G586" s="120"/>
      <c r="H586" s="121"/>
      <c r="I586" s="72"/>
    </row>
    <row r="587" spans="1:13" s="26" customFormat="1" x14ac:dyDescent="0.2">
      <c r="A587" s="13"/>
      <c r="B587" s="13"/>
      <c r="F587" s="39"/>
      <c r="H587" s="40"/>
    </row>
    <row r="588" spans="1:13" s="26" customFormat="1" ht="13.5" thickBot="1" x14ac:dyDescent="0.25">
      <c r="F588" s="39"/>
      <c r="H588" s="40"/>
    </row>
    <row r="589" spans="1:13" s="26" customFormat="1" ht="20.25" thickBot="1" x14ac:dyDescent="0.45">
      <c r="A589" s="187" t="s">
        <v>113</v>
      </c>
      <c r="B589" s="188"/>
      <c r="C589" s="188"/>
      <c r="D589" s="188"/>
      <c r="E589" s="188"/>
      <c r="F589" s="188"/>
      <c r="G589" s="188"/>
      <c r="H589" s="189"/>
      <c r="I589" s="33"/>
    </row>
    <row r="590" spans="1:13" s="26" customFormat="1" ht="15.75" thickBot="1" x14ac:dyDescent="0.35">
      <c r="A590" s="75" t="s">
        <v>130</v>
      </c>
      <c r="B590" s="76"/>
      <c r="C590" s="76" t="s">
        <v>33</v>
      </c>
      <c r="D590" s="75" t="s">
        <v>131</v>
      </c>
      <c r="E590" s="75" t="s">
        <v>132</v>
      </c>
      <c r="F590" s="75" t="s">
        <v>133</v>
      </c>
      <c r="G590" s="77" t="s">
        <v>40</v>
      </c>
      <c r="H590" s="78"/>
      <c r="I590" s="33"/>
    </row>
    <row r="591" spans="1:13" s="26" customFormat="1" ht="17.25" x14ac:dyDescent="0.35">
      <c r="A591" s="91" t="s">
        <v>129</v>
      </c>
      <c r="B591" s="92"/>
      <c r="C591" s="85" t="s">
        <v>114</v>
      </c>
      <c r="D591" s="85"/>
      <c r="E591" s="85"/>
      <c r="F591" s="86"/>
      <c r="G591" s="85" t="s">
        <v>21</v>
      </c>
      <c r="H591" s="87"/>
      <c r="I591" s="33"/>
    </row>
    <row r="592" spans="1:13" s="26" customFormat="1" ht="17.25" x14ac:dyDescent="0.35">
      <c r="A592" s="93" t="s">
        <v>115</v>
      </c>
      <c r="B592" s="94"/>
      <c r="C592" s="79"/>
      <c r="D592" s="79" t="s">
        <v>36</v>
      </c>
      <c r="E592" s="79">
        <v>1</v>
      </c>
      <c r="F592" s="80">
        <v>0</v>
      </c>
      <c r="G592" s="79"/>
      <c r="H592" s="88"/>
      <c r="I592" s="33"/>
    </row>
    <row r="593" spans="1:9" s="60" customFormat="1" ht="17.25" x14ac:dyDescent="0.35">
      <c r="A593" s="93" t="s">
        <v>116</v>
      </c>
      <c r="B593" s="94"/>
      <c r="C593" s="79"/>
      <c r="D593" s="79" t="s">
        <v>36</v>
      </c>
      <c r="E593" s="79">
        <v>2</v>
      </c>
      <c r="F593" s="80">
        <v>2</v>
      </c>
      <c r="G593" s="79"/>
      <c r="H593" s="88"/>
      <c r="I593" s="33"/>
    </row>
    <row r="594" spans="1:9" s="26" customFormat="1" ht="17.25" x14ac:dyDescent="0.35">
      <c r="A594" s="93" t="s">
        <v>117</v>
      </c>
      <c r="B594" s="94"/>
      <c r="C594" s="79"/>
      <c r="D594" s="79" t="s">
        <v>36</v>
      </c>
      <c r="E594" s="79">
        <v>2</v>
      </c>
      <c r="F594" s="80" t="s">
        <v>134</v>
      </c>
      <c r="G594" s="79"/>
      <c r="H594" s="88"/>
      <c r="I594" s="33"/>
    </row>
    <row r="595" spans="1:9" s="26" customFormat="1" ht="17.25" x14ac:dyDescent="0.35">
      <c r="A595" s="93" t="s">
        <v>118</v>
      </c>
      <c r="B595" s="94"/>
      <c r="C595" s="79"/>
      <c r="D595" s="79" t="s">
        <v>36</v>
      </c>
      <c r="E595" s="79">
        <v>1</v>
      </c>
      <c r="F595" s="80" t="s">
        <v>4</v>
      </c>
      <c r="G595" s="79"/>
      <c r="H595" s="88"/>
      <c r="I595" s="33"/>
    </row>
    <row r="596" spans="1:9" s="26" customFormat="1" ht="17.25" x14ac:dyDescent="0.35">
      <c r="A596" s="93" t="s">
        <v>119</v>
      </c>
      <c r="B596" s="94"/>
      <c r="C596" s="79"/>
      <c r="D596" s="79" t="s">
        <v>36</v>
      </c>
      <c r="E596" s="79">
        <v>2</v>
      </c>
      <c r="F596" s="80">
        <v>4</v>
      </c>
      <c r="G596" s="79"/>
      <c r="H596" s="88"/>
      <c r="I596" s="33"/>
    </row>
    <row r="597" spans="1:9" s="26" customFormat="1" ht="17.25" x14ac:dyDescent="0.35">
      <c r="A597" s="95" t="s">
        <v>120</v>
      </c>
      <c r="B597" s="96"/>
      <c r="C597" s="81"/>
      <c r="D597" s="81" t="s">
        <v>36</v>
      </c>
      <c r="E597" s="81">
        <f>F596</f>
        <v>4</v>
      </c>
      <c r="F597" s="82" t="s">
        <v>1031</v>
      </c>
      <c r="G597" s="81"/>
      <c r="H597" s="89"/>
      <c r="I597" s="33"/>
    </row>
    <row r="598" spans="1:9" s="26" customFormat="1" ht="17.25" x14ac:dyDescent="0.35">
      <c r="A598" s="93" t="s">
        <v>121</v>
      </c>
      <c r="B598" s="94"/>
      <c r="C598" s="79"/>
      <c r="D598" s="79" t="s">
        <v>36</v>
      </c>
      <c r="E598" s="79">
        <v>1</v>
      </c>
      <c r="F598" s="80" t="s">
        <v>5</v>
      </c>
      <c r="G598" s="79"/>
      <c r="H598" s="88"/>
      <c r="I598" s="33"/>
    </row>
    <row r="599" spans="1:9" s="26" customFormat="1" ht="17.25" x14ac:dyDescent="0.35">
      <c r="A599" s="93" t="s">
        <v>122</v>
      </c>
      <c r="B599" s="94"/>
      <c r="C599" s="79"/>
      <c r="D599" s="79" t="s">
        <v>36</v>
      </c>
      <c r="E599" s="79">
        <v>2</v>
      </c>
      <c r="F599" s="80">
        <f>LEN(F600)</f>
        <v>19</v>
      </c>
      <c r="G599" s="79"/>
      <c r="H599" s="88"/>
      <c r="I599" s="33"/>
    </row>
    <row r="600" spans="1:9" s="26" customFormat="1" ht="17.25" x14ac:dyDescent="0.35">
      <c r="A600" s="93" t="s">
        <v>123</v>
      </c>
      <c r="B600" s="94"/>
      <c r="C600" s="79"/>
      <c r="D600" s="79" t="s">
        <v>37</v>
      </c>
      <c r="E600" s="79">
        <f>F599</f>
        <v>19</v>
      </c>
      <c r="F600" s="80" t="s">
        <v>790</v>
      </c>
      <c r="G600" s="79"/>
      <c r="H600" s="88" t="s">
        <v>147</v>
      </c>
      <c r="I600" s="33"/>
    </row>
    <row r="601" spans="1:9" s="26" customFormat="1" ht="17.25" x14ac:dyDescent="0.35">
      <c r="A601" s="93" t="s">
        <v>124</v>
      </c>
      <c r="B601" s="94"/>
      <c r="C601" s="79"/>
      <c r="D601" s="79" t="s">
        <v>36</v>
      </c>
      <c r="E601" s="79">
        <v>1</v>
      </c>
      <c r="F601" s="80" t="s">
        <v>135</v>
      </c>
      <c r="G601" s="79"/>
      <c r="H601" s="88"/>
      <c r="I601" s="33"/>
    </row>
    <row r="602" spans="1:9" s="26" customFormat="1" ht="17.25" x14ac:dyDescent="0.35">
      <c r="A602" s="93" t="s">
        <v>125</v>
      </c>
      <c r="B602" s="94"/>
      <c r="C602" s="79"/>
      <c r="D602" s="79" t="s">
        <v>36</v>
      </c>
      <c r="E602" s="79">
        <v>2</v>
      </c>
      <c r="F602" s="80">
        <f>E603+E604+(F604*E605)</f>
        <v>18</v>
      </c>
      <c r="G602" s="79"/>
      <c r="H602" s="88"/>
      <c r="I602" s="33"/>
    </row>
    <row r="603" spans="1:9" ht="17.25" x14ac:dyDescent="0.35">
      <c r="A603" s="93" t="s">
        <v>126</v>
      </c>
      <c r="B603" s="94"/>
      <c r="C603" s="79"/>
      <c r="D603" s="79" t="s">
        <v>36</v>
      </c>
      <c r="E603" s="79">
        <v>1</v>
      </c>
      <c r="F603" s="80">
        <v>0</v>
      </c>
      <c r="G603" s="79"/>
      <c r="H603" s="88"/>
    </row>
    <row r="604" spans="1:9" ht="17.25" x14ac:dyDescent="0.35">
      <c r="A604" s="93" t="s">
        <v>127</v>
      </c>
      <c r="B604" s="94"/>
      <c r="C604" s="79"/>
      <c r="D604" s="79" t="s">
        <v>36</v>
      </c>
      <c r="E604" s="79">
        <v>1</v>
      </c>
      <c r="F604" s="80">
        <f>LEN(F605)-LEN(SUBSTITUTE(F605,",",""))+1</f>
        <v>4</v>
      </c>
      <c r="G604" s="79"/>
      <c r="H604" s="88"/>
    </row>
    <row r="605" spans="1:9" ht="17.25" x14ac:dyDescent="0.35">
      <c r="A605" s="93" t="s">
        <v>128</v>
      </c>
      <c r="B605" s="94"/>
      <c r="C605" s="79"/>
      <c r="D605" s="79" t="s">
        <v>43</v>
      </c>
      <c r="E605" s="79">
        <v>4</v>
      </c>
      <c r="F605" s="80" t="s">
        <v>997</v>
      </c>
      <c r="G605" s="79"/>
      <c r="H605" s="88"/>
    </row>
    <row r="606" spans="1:9" ht="17.25" x14ac:dyDescent="0.35">
      <c r="A606" s="93" t="s">
        <v>390</v>
      </c>
      <c r="B606" s="94"/>
      <c r="C606" s="79"/>
      <c r="D606" s="79" t="s">
        <v>36</v>
      </c>
      <c r="E606" s="79">
        <v>1</v>
      </c>
      <c r="F606" s="80" t="s">
        <v>391</v>
      </c>
      <c r="G606" s="79"/>
      <c r="H606" s="88"/>
    </row>
    <row r="607" spans="1:9" ht="17.25" x14ac:dyDescent="0.35">
      <c r="A607" s="97" t="s">
        <v>392</v>
      </c>
      <c r="B607" s="98"/>
      <c r="C607" s="83"/>
      <c r="D607" s="83" t="s">
        <v>36</v>
      </c>
      <c r="E607" s="83">
        <v>2</v>
      </c>
      <c r="F607" s="84">
        <v>4</v>
      </c>
      <c r="G607" s="83"/>
      <c r="H607" s="90"/>
    </row>
    <row r="608" spans="1:9" ht="17.25" x14ac:dyDescent="0.35">
      <c r="A608" s="95" t="s">
        <v>393</v>
      </c>
      <c r="B608" s="96"/>
      <c r="C608" s="81"/>
      <c r="D608" s="81" t="s">
        <v>36</v>
      </c>
      <c r="E608" s="81">
        <v>4</v>
      </c>
      <c r="F608" s="156" t="str">
        <f>$F$597</f>
        <v>0x05011F26</v>
      </c>
      <c r="G608" s="81"/>
      <c r="H608" s="89"/>
    </row>
    <row r="609" spans="1:8" ht="17.25" x14ac:dyDescent="0.35">
      <c r="A609" s="152" t="s">
        <v>988</v>
      </c>
      <c r="B609" s="153"/>
      <c r="C609" s="154"/>
      <c r="D609" s="154" t="s">
        <v>36</v>
      </c>
      <c r="E609" s="154">
        <v>1</v>
      </c>
      <c r="F609" s="154" t="s">
        <v>417</v>
      </c>
      <c r="G609" s="154"/>
      <c r="H609" s="155"/>
    </row>
    <row r="610" spans="1:8" ht="17.25" x14ac:dyDescent="0.35">
      <c r="A610" s="148" t="s">
        <v>989</v>
      </c>
      <c r="B610" s="149"/>
      <c r="C610" s="150"/>
      <c r="D610" s="150" t="s">
        <v>36</v>
      </c>
      <c r="E610" s="150">
        <v>2</v>
      </c>
      <c r="F610" s="150">
        <f>2+F612*E613*2</f>
        <v>6</v>
      </c>
      <c r="G610" s="150"/>
      <c r="H610" s="151"/>
    </row>
    <row r="611" spans="1:8" ht="17.25" x14ac:dyDescent="0.35">
      <c r="A611" s="148" t="s">
        <v>990</v>
      </c>
      <c r="B611" s="149"/>
      <c r="C611" s="150"/>
      <c r="D611" s="150" t="s">
        <v>36</v>
      </c>
      <c r="E611" s="150">
        <v>1</v>
      </c>
      <c r="F611" s="150">
        <v>0</v>
      </c>
      <c r="G611" s="150"/>
      <c r="H611" s="151" t="s">
        <v>991</v>
      </c>
    </row>
    <row r="612" spans="1:8" ht="17.25" x14ac:dyDescent="0.35">
      <c r="A612" s="148" t="s">
        <v>992</v>
      </c>
      <c r="B612" s="149"/>
      <c r="C612" s="150"/>
      <c r="D612" s="150" t="s">
        <v>36</v>
      </c>
      <c r="E612" s="150">
        <v>1</v>
      </c>
      <c r="F612" s="150">
        <f>SUM(LEN(F613)-LEN(SUBSTITUTE(F613,"-","")))</f>
        <v>1</v>
      </c>
      <c r="G612" s="150"/>
      <c r="H612" s="151" t="s">
        <v>993</v>
      </c>
    </row>
    <row r="613" spans="1:8" ht="17.25" x14ac:dyDescent="0.35">
      <c r="A613" s="148" t="s">
        <v>994</v>
      </c>
      <c r="B613" s="149"/>
      <c r="C613" s="150"/>
      <c r="D613" s="150" t="s">
        <v>43</v>
      </c>
      <c r="E613" s="150">
        <v>2</v>
      </c>
      <c r="F613" s="150" t="s">
        <v>1029</v>
      </c>
      <c r="G613" s="150"/>
      <c r="H613" s="151"/>
    </row>
    <row r="614" spans="1:8" ht="17.25" x14ac:dyDescent="0.35">
      <c r="A614" s="157" t="s">
        <v>935</v>
      </c>
      <c r="B614" s="157"/>
      <c r="C614" s="158"/>
      <c r="D614" s="159" t="s">
        <v>36</v>
      </c>
      <c r="E614" s="159">
        <v>1</v>
      </c>
      <c r="F614" s="160" t="s">
        <v>465</v>
      </c>
      <c r="G614" s="159"/>
      <c r="H614" s="161"/>
    </row>
    <row r="615" spans="1:8" ht="17.25" x14ac:dyDescent="0.35">
      <c r="A615" s="157" t="s">
        <v>936</v>
      </c>
      <c r="B615" s="157"/>
      <c r="C615" s="158"/>
      <c r="D615" s="159" t="s">
        <v>36</v>
      </c>
      <c r="E615" s="159">
        <v>2</v>
      </c>
      <c r="F615" s="162">
        <v>4</v>
      </c>
      <c r="G615" s="159"/>
      <c r="H615" s="161"/>
    </row>
    <row r="616" spans="1:8" ht="138" x14ac:dyDescent="0.35">
      <c r="A616" s="157" t="s">
        <v>937</v>
      </c>
      <c r="B616" s="157"/>
      <c r="C616" s="158"/>
      <c r="D616" s="159" t="s">
        <v>36</v>
      </c>
      <c r="E616" s="159">
        <v>4</v>
      </c>
      <c r="F616" s="160" t="s">
        <v>938</v>
      </c>
      <c r="G616" s="159"/>
      <c r="H616" s="161" t="s">
        <v>939</v>
      </c>
    </row>
  </sheetData>
  <mergeCells count="3">
    <mergeCell ref="A2:I2"/>
    <mergeCell ref="A4:H4"/>
    <mergeCell ref="A589:H589"/>
  </mergeCells>
  <conditionalFormatting sqref="B617:B1048576 B587:B608 B1:B5 B35:B37">
    <cfRule type="duplicateValues" dxfId="16" priority="11"/>
  </conditionalFormatting>
  <conditionalFormatting sqref="B1:B5 B35:B37 B617:B1048576 B587:B608">
    <cfRule type="containsText" dxfId="15" priority="10" operator="containsText" text="ims">
      <formula>NOT(ISERROR(SEARCH("ims",B1)))</formula>
    </cfRule>
  </conditionalFormatting>
  <conditionalFormatting sqref="B572 B566:B569">
    <cfRule type="containsText" dxfId="14" priority="9" operator="containsText" text="ims">
      <formula>NOT(ISERROR(SEARCH("ims",B566)))</formula>
    </cfRule>
  </conditionalFormatting>
  <conditionalFormatting sqref="B563:B565">
    <cfRule type="containsText" dxfId="13" priority="8" operator="containsText" text="ims">
      <formula>NOT(ISERROR(SEARCH("ims",B563)))</formula>
    </cfRule>
  </conditionalFormatting>
  <conditionalFormatting sqref="B570:B571">
    <cfRule type="containsText" dxfId="12" priority="7" operator="containsText" text="ims">
      <formula>NOT(ISERROR(SEARCH("ims",B570)))</formula>
    </cfRule>
  </conditionalFormatting>
  <conditionalFormatting sqref="B614:B616">
    <cfRule type="duplicateValues" dxfId="11" priority="5"/>
  </conditionalFormatting>
  <conditionalFormatting sqref="B614:B616">
    <cfRule type="containsText" dxfId="10" priority="4" operator="containsText" text="ims">
      <formula>NOT(ISERROR(SEARCH("ims",B614)))</formula>
    </cfRule>
  </conditionalFormatting>
  <conditionalFormatting sqref="A326:I331">
    <cfRule type="containsText" dxfId="9" priority="3" operator="containsText" text="/ims/">
      <formula>NOT(ISERROR(SEARCH("/ims/",A326)))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ims" id="{927AD450-B928-491D-91B0-857E59052B7F}">
            <xm:f>NOT(ISERROR(SEARCH("ims",'CZech-VoLTE'!B632)))</xm:f>
            <x14:dxf>
              <font>
                <sz val="11"/>
                <color rgb="FF9C0006"/>
                <name val="Calibri"/>
              </font>
              <fill>
                <patternFill>
                  <bgColor rgb="FFFFC7CE"/>
                </patternFill>
              </fill>
            </x14:dxf>
          </x14:cfRule>
          <xm:sqref>B609:B613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/>
  </sheetPr>
  <dimension ref="A1:M636"/>
  <sheetViews>
    <sheetView topLeftCell="D614" zoomScaleNormal="100" workbookViewId="0">
      <selection activeCell="F618" sqref="F618"/>
    </sheetView>
  </sheetViews>
  <sheetFormatPr defaultColWidth="9.140625" defaultRowHeight="12.75" x14ac:dyDescent="0.2"/>
  <cols>
    <col min="1" max="1" width="43.85546875" style="33" customWidth="1"/>
    <col min="2" max="2" width="68" style="33" customWidth="1"/>
    <col min="3" max="3" width="13.7109375" style="33" customWidth="1"/>
    <col min="4" max="4" width="13.85546875" style="33" bestFit="1" customWidth="1"/>
    <col min="5" max="5" width="34" style="33" customWidth="1"/>
    <col min="6" max="6" width="51" style="19" bestFit="1" customWidth="1"/>
    <col min="7" max="7" width="10.42578125" style="33" bestFit="1" customWidth="1"/>
    <col min="8" max="8" width="68.5703125" style="20" customWidth="1"/>
    <col min="9" max="9" width="49.5703125" style="33" customWidth="1"/>
    <col min="10" max="16384" width="9.140625" style="33"/>
  </cols>
  <sheetData>
    <row r="1" spans="1:9" s="26" customFormat="1" x14ac:dyDescent="0.2">
      <c r="F1" s="39"/>
      <c r="H1" s="40"/>
    </row>
    <row r="2" spans="1:9" s="53" customFormat="1" ht="27.75" x14ac:dyDescent="0.55000000000000004">
      <c r="A2" s="183" t="s">
        <v>471</v>
      </c>
      <c r="B2" s="183"/>
      <c r="C2" s="183"/>
      <c r="D2" s="183"/>
      <c r="E2" s="183"/>
      <c r="F2" s="183"/>
      <c r="G2" s="183"/>
      <c r="H2" s="183"/>
      <c r="I2" s="183"/>
    </row>
    <row r="3" spans="1:9" s="26" customFormat="1" ht="13.5" thickBot="1" x14ac:dyDescent="0.25">
      <c r="A3" s="13"/>
      <c r="F3" s="39"/>
      <c r="H3" s="40"/>
    </row>
    <row r="4" spans="1:9" s="36" customFormat="1" ht="20.25" thickBot="1" x14ac:dyDescent="0.45">
      <c r="A4" s="184" t="s">
        <v>311</v>
      </c>
      <c r="B4" s="185"/>
      <c r="C4" s="185"/>
      <c r="D4" s="185"/>
      <c r="E4" s="185"/>
      <c r="F4" s="185"/>
      <c r="G4" s="185"/>
      <c r="H4" s="186"/>
    </row>
    <row r="5" spans="1:9" s="38" customFormat="1" ht="15.75" thickBot="1" x14ac:dyDescent="0.35">
      <c r="A5" s="37" t="s">
        <v>8</v>
      </c>
      <c r="B5" s="48" t="s">
        <v>7</v>
      </c>
      <c r="C5" s="37" t="s">
        <v>33</v>
      </c>
      <c r="D5" s="37" t="s">
        <v>34</v>
      </c>
      <c r="E5" s="37" t="s">
        <v>9</v>
      </c>
      <c r="F5" s="37" t="s">
        <v>35</v>
      </c>
      <c r="G5" s="47" t="s">
        <v>40</v>
      </c>
      <c r="H5" s="49" t="s">
        <v>10</v>
      </c>
    </row>
    <row r="6" spans="1:9" s="18" customFormat="1" ht="15" x14ac:dyDescent="0.3">
      <c r="A6" s="110" t="s">
        <v>13</v>
      </c>
      <c r="B6" s="101">
        <v>71</v>
      </c>
      <c r="C6" s="101"/>
      <c r="D6" s="101"/>
      <c r="E6" s="107" t="s">
        <v>14</v>
      </c>
      <c r="F6" s="101"/>
      <c r="G6" s="102" t="s">
        <v>591</v>
      </c>
      <c r="H6" s="104"/>
    </row>
    <row r="7" spans="1:9" s="18" customFormat="1" ht="15" x14ac:dyDescent="0.3">
      <c r="A7" s="111"/>
      <c r="B7" s="102"/>
      <c r="C7" s="102" t="s">
        <v>37</v>
      </c>
      <c r="D7" s="102">
        <v>13</v>
      </c>
      <c r="E7" s="108" t="s">
        <v>15</v>
      </c>
      <c r="F7" s="102" t="s">
        <v>821</v>
      </c>
      <c r="G7" s="102"/>
      <c r="H7" s="105" t="s">
        <v>137</v>
      </c>
    </row>
    <row r="8" spans="1:9" s="26" customFormat="1" x14ac:dyDescent="0.2">
      <c r="A8" s="111" t="s">
        <v>396</v>
      </c>
      <c r="B8" s="102">
        <v>75</v>
      </c>
      <c r="C8" s="102"/>
      <c r="D8" s="102"/>
      <c r="E8" s="108" t="s">
        <v>397</v>
      </c>
      <c r="F8" s="102"/>
      <c r="G8" s="102" t="s">
        <v>591</v>
      </c>
      <c r="H8" s="105"/>
      <c r="I8" s="30"/>
    </row>
    <row r="9" spans="1:9" s="26" customFormat="1" x14ac:dyDescent="0.2">
      <c r="A9" s="111"/>
      <c r="B9" s="102"/>
      <c r="C9" s="102" t="s">
        <v>36</v>
      </c>
      <c r="D9" s="102">
        <v>1</v>
      </c>
      <c r="E9" s="108" t="s">
        <v>394</v>
      </c>
      <c r="F9" s="102">
        <v>1</v>
      </c>
      <c r="G9" s="102"/>
      <c r="H9" s="105"/>
      <c r="I9" s="30"/>
    </row>
    <row r="10" spans="1:9" s="26" customFormat="1" x14ac:dyDescent="0.2">
      <c r="A10" s="111"/>
      <c r="B10" s="102"/>
      <c r="C10" s="102" t="s">
        <v>36</v>
      </c>
      <c r="D10" s="102">
        <v>1</v>
      </c>
      <c r="E10" s="108" t="s">
        <v>395</v>
      </c>
      <c r="F10" s="102">
        <v>1</v>
      </c>
      <c r="G10" s="102"/>
      <c r="H10" s="105"/>
      <c r="I10" s="30"/>
    </row>
    <row r="11" spans="1:9" s="26" customFormat="1" x14ac:dyDescent="0.2">
      <c r="A11" s="111" t="s">
        <v>398</v>
      </c>
      <c r="B11" s="102">
        <v>848</v>
      </c>
      <c r="C11" s="102"/>
      <c r="D11" s="102"/>
      <c r="E11" s="108"/>
      <c r="F11" s="102"/>
      <c r="G11" s="102" t="s">
        <v>112</v>
      </c>
      <c r="H11" s="105"/>
      <c r="I11" s="30"/>
    </row>
    <row r="12" spans="1:9" s="26" customFormat="1" x14ac:dyDescent="0.2">
      <c r="A12" s="111"/>
      <c r="B12" s="102"/>
      <c r="C12" s="102" t="s">
        <v>36</v>
      </c>
      <c r="D12" s="102">
        <v>1</v>
      </c>
      <c r="E12" s="108" t="s">
        <v>11</v>
      </c>
      <c r="F12" s="102">
        <v>0</v>
      </c>
      <c r="G12" s="102"/>
      <c r="H12" s="105"/>
      <c r="I12" s="30"/>
    </row>
    <row r="13" spans="1:9" s="26" customFormat="1" ht="38.25" x14ac:dyDescent="0.2">
      <c r="A13" s="111"/>
      <c r="B13" s="102"/>
      <c r="C13" s="102" t="s">
        <v>36</v>
      </c>
      <c r="D13" s="102">
        <v>2</v>
      </c>
      <c r="E13" s="108" t="s">
        <v>399</v>
      </c>
      <c r="F13" s="102">
        <v>0</v>
      </c>
      <c r="G13" s="102"/>
      <c r="H13" s="105" t="s">
        <v>456</v>
      </c>
      <c r="I13" s="30"/>
    </row>
    <row r="14" spans="1:9" s="26" customFormat="1" x14ac:dyDescent="0.2">
      <c r="A14" s="111" t="s">
        <v>400</v>
      </c>
      <c r="B14" s="102">
        <v>849</v>
      </c>
      <c r="C14" s="102"/>
      <c r="D14" s="102"/>
      <c r="E14" s="108"/>
      <c r="F14" s="102"/>
      <c r="G14" s="102" t="s">
        <v>112</v>
      </c>
      <c r="H14" s="105"/>
      <c r="I14" s="30"/>
    </row>
    <row r="15" spans="1:9" s="26" customFormat="1" x14ac:dyDescent="0.2">
      <c r="A15" s="111"/>
      <c r="B15" s="102"/>
      <c r="C15" s="102" t="s">
        <v>36</v>
      </c>
      <c r="D15" s="102">
        <v>1</v>
      </c>
      <c r="E15" s="108" t="s">
        <v>11</v>
      </c>
      <c r="F15" s="102">
        <v>0</v>
      </c>
      <c r="G15" s="102"/>
      <c r="H15" s="105"/>
      <c r="I15" s="30"/>
    </row>
    <row r="16" spans="1:9" s="26" customFormat="1" ht="25.5" x14ac:dyDescent="0.2">
      <c r="A16" s="111"/>
      <c r="B16" s="102"/>
      <c r="C16" s="102" t="s">
        <v>36</v>
      </c>
      <c r="D16" s="102">
        <v>2</v>
      </c>
      <c r="E16" s="108" t="s">
        <v>401</v>
      </c>
      <c r="F16" s="102">
        <v>0</v>
      </c>
      <c r="G16" s="102"/>
      <c r="H16" s="105" t="s">
        <v>420</v>
      </c>
      <c r="I16" s="30"/>
    </row>
    <row r="17" spans="1:9" s="26" customFormat="1" x14ac:dyDescent="0.2">
      <c r="A17" s="111" t="s">
        <v>48</v>
      </c>
      <c r="B17" s="102">
        <v>880</v>
      </c>
      <c r="C17" s="102" t="s">
        <v>36</v>
      </c>
      <c r="D17" s="102">
        <v>1</v>
      </c>
      <c r="E17" s="108" t="s">
        <v>138</v>
      </c>
      <c r="F17" s="102" t="s">
        <v>4</v>
      </c>
      <c r="G17" s="102" t="s">
        <v>591</v>
      </c>
      <c r="H17" s="105"/>
      <c r="I17" s="30"/>
    </row>
    <row r="18" spans="1:9" s="26" customFormat="1" x14ac:dyDescent="0.2">
      <c r="A18" s="111" t="s">
        <v>49</v>
      </c>
      <c r="B18" s="102">
        <v>881</v>
      </c>
      <c r="C18" s="102" t="s">
        <v>36</v>
      </c>
      <c r="D18" s="102">
        <v>1</v>
      </c>
      <c r="E18" s="108" t="s">
        <v>139</v>
      </c>
      <c r="F18" s="102" t="s">
        <v>4</v>
      </c>
      <c r="G18" s="102" t="s">
        <v>591</v>
      </c>
      <c r="H18" s="105"/>
      <c r="I18" s="30"/>
    </row>
    <row r="19" spans="1:9" s="26" customFormat="1" x14ac:dyDescent="0.2">
      <c r="A19" s="111" t="s">
        <v>50</v>
      </c>
      <c r="B19" s="102">
        <v>882</v>
      </c>
      <c r="C19" s="102" t="s">
        <v>36</v>
      </c>
      <c r="D19" s="102">
        <v>1</v>
      </c>
      <c r="E19" s="108" t="s">
        <v>140</v>
      </c>
      <c r="F19" s="102" t="s">
        <v>21</v>
      </c>
      <c r="G19" s="102" t="s">
        <v>591</v>
      </c>
      <c r="H19" s="105"/>
      <c r="I19" s="30"/>
    </row>
    <row r="20" spans="1:9" s="26" customFormat="1" ht="51" x14ac:dyDescent="0.2">
      <c r="A20" s="111" t="s">
        <v>402</v>
      </c>
      <c r="B20" s="102">
        <v>909</v>
      </c>
      <c r="C20" s="102" t="s">
        <v>36</v>
      </c>
      <c r="D20" s="102">
        <v>1</v>
      </c>
      <c r="E20" s="108" t="s">
        <v>403</v>
      </c>
      <c r="F20" s="102">
        <v>2</v>
      </c>
      <c r="G20" s="102" t="s">
        <v>591</v>
      </c>
      <c r="H20" s="105" t="s">
        <v>404</v>
      </c>
      <c r="I20" s="30"/>
    </row>
    <row r="21" spans="1:9" s="26" customFormat="1" x14ac:dyDescent="0.2">
      <c r="A21" s="111" t="s">
        <v>405</v>
      </c>
      <c r="B21" s="102">
        <v>3628</v>
      </c>
      <c r="C21" s="102" t="s">
        <v>36</v>
      </c>
      <c r="D21" s="102">
        <v>1</v>
      </c>
      <c r="E21" s="108" t="s">
        <v>406</v>
      </c>
      <c r="F21" s="102">
        <v>1</v>
      </c>
      <c r="G21" s="102" t="s">
        <v>591</v>
      </c>
      <c r="H21" s="105" t="s">
        <v>407</v>
      </c>
      <c r="I21" s="30"/>
    </row>
    <row r="22" spans="1:9" s="26" customFormat="1" ht="102" x14ac:dyDescent="0.2">
      <c r="A22" s="111" t="s">
        <v>408</v>
      </c>
      <c r="B22" s="102">
        <v>6850</v>
      </c>
      <c r="C22" s="102" t="s">
        <v>36</v>
      </c>
      <c r="D22" s="102">
        <v>1</v>
      </c>
      <c r="E22" s="108" t="s">
        <v>409</v>
      </c>
      <c r="F22" s="102">
        <v>5</v>
      </c>
      <c r="G22" s="102" t="s">
        <v>591</v>
      </c>
      <c r="H22" s="105" t="s">
        <v>463</v>
      </c>
      <c r="I22" s="30"/>
    </row>
    <row r="23" spans="1:9" s="26" customFormat="1" ht="51" x14ac:dyDescent="0.2">
      <c r="A23" s="111" t="s">
        <v>410</v>
      </c>
      <c r="B23" s="102">
        <v>4117</v>
      </c>
      <c r="C23" s="102" t="s">
        <v>36</v>
      </c>
      <c r="D23" s="102">
        <v>1</v>
      </c>
      <c r="E23" s="108" t="s">
        <v>411</v>
      </c>
      <c r="F23" s="102">
        <v>0</v>
      </c>
      <c r="G23" s="102" t="s">
        <v>591</v>
      </c>
      <c r="H23" s="105" t="s">
        <v>412</v>
      </c>
      <c r="I23" s="30"/>
    </row>
    <row r="24" spans="1:9" s="26" customFormat="1" ht="51" x14ac:dyDescent="0.2">
      <c r="A24" s="111" t="s">
        <v>413</v>
      </c>
      <c r="B24" s="102">
        <v>4722</v>
      </c>
      <c r="C24" s="102" t="s">
        <v>36</v>
      </c>
      <c r="D24" s="102">
        <v>1</v>
      </c>
      <c r="E24" s="108" t="s">
        <v>414</v>
      </c>
      <c r="F24" s="102">
        <v>3</v>
      </c>
      <c r="G24" s="102" t="s">
        <v>591</v>
      </c>
      <c r="H24" s="105" t="s">
        <v>415</v>
      </c>
      <c r="I24" s="30"/>
    </row>
    <row r="25" spans="1:9" s="26" customFormat="1" x14ac:dyDescent="0.2">
      <c r="A25" s="111" t="s">
        <v>22</v>
      </c>
      <c r="B25" s="102">
        <v>10</v>
      </c>
      <c r="C25" s="102"/>
      <c r="D25" s="102"/>
      <c r="E25" s="108" t="s">
        <v>23</v>
      </c>
      <c r="F25" s="102"/>
      <c r="G25" s="102" t="s">
        <v>112</v>
      </c>
      <c r="H25" s="105" t="s">
        <v>6</v>
      </c>
      <c r="I25" s="30"/>
    </row>
    <row r="26" spans="1:9" s="26" customFormat="1" x14ac:dyDescent="0.2">
      <c r="A26" s="111"/>
      <c r="B26" s="102"/>
      <c r="C26" s="102" t="s">
        <v>36</v>
      </c>
      <c r="D26" s="102">
        <v>1</v>
      </c>
      <c r="E26" s="108" t="s">
        <v>11</v>
      </c>
      <c r="F26" s="102">
        <v>0</v>
      </c>
      <c r="G26" s="102"/>
      <c r="H26" s="105"/>
      <c r="I26" s="30"/>
    </row>
    <row r="27" spans="1:9" s="26" customFormat="1" x14ac:dyDescent="0.2">
      <c r="A27" s="111"/>
      <c r="B27" s="102"/>
      <c r="C27" s="102" t="s">
        <v>36</v>
      </c>
      <c r="D27" s="102">
        <v>2</v>
      </c>
      <c r="E27" s="108" t="s">
        <v>24</v>
      </c>
      <c r="F27" s="102">
        <v>31</v>
      </c>
      <c r="G27" s="102"/>
      <c r="H27" s="105" t="s">
        <v>6</v>
      </c>
      <c r="I27" s="30"/>
    </row>
    <row r="28" spans="1:9" s="26" customFormat="1" x14ac:dyDescent="0.2">
      <c r="A28" s="111" t="s">
        <v>22</v>
      </c>
      <c r="B28" s="102">
        <v>10</v>
      </c>
      <c r="C28" s="102"/>
      <c r="D28" s="102"/>
      <c r="E28" s="108" t="s">
        <v>23</v>
      </c>
      <c r="F28" s="102"/>
      <c r="G28" s="102" t="s">
        <v>416</v>
      </c>
      <c r="H28" s="105" t="s">
        <v>6</v>
      </c>
      <c r="I28" s="30"/>
    </row>
    <row r="29" spans="1:9" s="26" customFormat="1" x14ac:dyDescent="0.2">
      <c r="A29" s="111"/>
      <c r="B29" s="102" t="s">
        <v>808</v>
      </c>
      <c r="C29" s="102" t="s">
        <v>36</v>
      </c>
      <c r="D29" s="102">
        <v>1</v>
      </c>
      <c r="E29" s="108"/>
      <c r="F29" s="102" t="s">
        <v>417</v>
      </c>
      <c r="G29" s="102"/>
      <c r="H29" s="105"/>
      <c r="I29" s="30"/>
    </row>
    <row r="30" spans="1:9" s="26" customFormat="1" x14ac:dyDescent="0.2">
      <c r="A30" s="111"/>
      <c r="B30" s="102"/>
      <c r="C30" s="102" t="s">
        <v>36</v>
      </c>
      <c r="D30" s="102">
        <v>1</v>
      </c>
      <c r="E30" s="108" t="s">
        <v>11</v>
      </c>
      <c r="F30" s="102">
        <v>0</v>
      </c>
      <c r="G30" s="102"/>
      <c r="H30" s="105"/>
      <c r="I30" s="30"/>
    </row>
    <row r="31" spans="1:9" s="26" customFormat="1" x14ac:dyDescent="0.2">
      <c r="A31" s="111"/>
      <c r="B31" s="102"/>
      <c r="C31" s="102" t="s">
        <v>36</v>
      </c>
      <c r="D31" s="102">
        <v>2</v>
      </c>
      <c r="E31" s="108" t="s">
        <v>24</v>
      </c>
      <c r="F31" s="102">
        <v>13</v>
      </c>
      <c r="G31" s="102"/>
      <c r="H31" s="105" t="s">
        <v>6</v>
      </c>
      <c r="I31" s="30"/>
    </row>
    <row r="32" spans="1:9" s="26" customFormat="1" x14ac:dyDescent="0.2">
      <c r="A32" s="111" t="s">
        <v>148</v>
      </c>
      <c r="B32" s="102">
        <v>562</v>
      </c>
      <c r="C32" s="102" t="s">
        <v>36</v>
      </c>
      <c r="D32" s="102">
        <v>1</v>
      </c>
      <c r="E32" s="108" t="s">
        <v>149</v>
      </c>
      <c r="F32" s="102">
        <v>1</v>
      </c>
      <c r="G32" s="102" t="s">
        <v>591</v>
      </c>
      <c r="H32" s="105" t="s">
        <v>12</v>
      </c>
      <c r="I32" s="30"/>
    </row>
    <row r="33" spans="1:13" s="26" customFormat="1" x14ac:dyDescent="0.2">
      <c r="A33" s="111" t="s">
        <v>47</v>
      </c>
      <c r="B33" s="102">
        <v>855</v>
      </c>
      <c r="C33" s="102" t="s">
        <v>36</v>
      </c>
      <c r="D33" s="102">
        <v>2</v>
      </c>
      <c r="E33" s="108" t="s">
        <v>16</v>
      </c>
      <c r="F33" s="102">
        <v>0</v>
      </c>
      <c r="G33" s="102" t="s">
        <v>591</v>
      </c>
      <c r="H33" s="105" t="s">
        <v>142</v>
      </c>
      <c r="I33" s="30"/>
    </row>
    <row r="34" spans="1:13" s="26" customFormat="1" x14ac:dyDescent="0.2">
      <c r="A34" s="111" t="s">
        <v>52</v>
      </c>
      <c r="B34" s="102">
        <v>6862</v>
      </c>
      <c r="C34" s="102" t="s">
        <v>36</v>
      </c>
      <c r="D34" s="102">
        <v>1</v>
      </c>
      <c r="E34" s="108"/>
      <c r="F34" s="102">
        <v>1</v>
      </c>
      <c r="G34" s="102" t="s">
        <v>591</v>
      </c>
      <c r="H34" s="105" t="s">
        <v>6</v>
      </c>
      <c r="I34" s="30"/>
    </row>
    <row r="35" spans="1:13" s="26" customFormat="1" x14ac:dyDescent="0.2">
      <c r="A35" s="111" t="s">
        <v>51</v>
      </c>
      <c r="B35" s="102">
        <v>4265</v>
      </c>
      <c r="C35" s="102" t="s">
        <v>36</v>
      </c>
      <c r="D35" s="102">
        <v>1</v>
      </c>
      <c r="E35" s="108"/>
      <c r="F35" s="102" t="s">
        <v>21</v>
      </c>
      <c r="G35" s="102" t="s">
        <v>591</v>
      </c>
      <c r="H35" s="105"/>
      <c r="I35" s="30"/>
    </row>
    <row r="36" spans="1:13" s="26" customFormat="1" x14ac:dyDescent="0.2">
      <c r="A36" s="111" t="s">
        <v>168</v>
      </c>
      <c r="B36" s="102">
        <v>6831</v>
      </c>
      <c r="C36" s="102" t="s">
        <v>36</v>
      </c>
      <c r="D36" s="102">
        <v>1</v>
      </c>
      <c r="E36" s="108"/>
      <c r="F36" s="102">
        <v>10</v>
      </c>
      <c r="G36" s="102" t="s">
        <v>591</v>
      </c>
      <c r="H36" s="105"/>
      <c r="I36" s="30"/>
    </row>
    <row r="37" spans="1:13" s="26" customFormat="1" ht="38.25" x14ac:dyDescent="0.2">
      <c r="A37" s="111" t="s">
        <v>584</v>
      </c>
      <c r="B37" s="102">
        <v>1016</v>
      </c>
      <c r="C37" s="102" t="s">
        <v>36</v>
      </c>
      <c r="D37" s="102">
        <v>1</v>
      </c>
      <c r="E37" s="108" t="s">
        <v>585</v>
      </c>
      <c r="F37" s="102">
        <v>1</v>
      </c>
      <c r="G37" s="102" t="s">
        <v>591</v>
      </c>
      <c r="H37" s="105" t="s">
        <v>586</v>
      </c>
      <c r="I37" s="30"/>
    </row>
    <row r="38" spans="1:13" s="26" customFormat="1" ht="51" x14ac:dyDescent="0.2">
      <c r="A38" s="111" t="s">
        <v>587</v>
      </c>
      <c r="B38" s="102">
        <v>1017</v>
      </c>
      <c r="C38" s="102" t="s">
        <v>36</v>
      </c>
      <c r="D38" s="102">
        <v>1</v>
      </c>
      <c r="E38" s="108" t="s">
        <v>588</v>
      </c>
      <c r="F38" s="102">
        <v>2</v>
      </c>
      <c r="G38" s="102" t="s">
        <v>591</v>
      </c>
      <c r="H38" s="105" t="s">
        <v>589</v>
      </c>
      <c r="I38" s="30"/>
    </row>
    <row r="39" spans="1:13" s="26" customFormat="1" x14ac:dyDescent="0.2">
      <c r="A39" s="111" t="s">
        <v>418</v>
      </c>
      <c r="B39" s="102">
        <v>1896</v>
      </c>
      <c r="C39" s="102" t="s">
        <v>36</v>
      </c>
      <c r="D39" s="102">
        <v>1</v>
      </c>
      <c r="E39" s="108" t="s">
        <v>419</v>
      </c>
      <c r="F39" s="102">
        <v>1</v>
      </c>
      <c r="G39" s="102" t="s">
        <v>591</v>
      </c>
      <c r="H39" s="105"/>
      <c r="I39" s="30"/>
    </row>
    <row r="40" spans="1:13" s="26" customFormat="1" x14ac:dyDescent="0.2">
      <c r="A40" s="111" t="s">
        <v>17</v>
      </c>
      <c r="B40" s="102">
        <v>3532</v>
      </c>
      <c r="C40" s="102" t="s">
        <v>36</v>
      </c>
      <c r="D40" s="102">
        <v>1</v>
      </c>
      <c r="E40" s="108" t="s">
        <v>18</v>
      </c>
      <c r="F40" s="102">
        <v>135</v>
      </c>
      <c r="G40" s="102" t="s">
        <v>591</v>
      </c>
      <c r="H40" s="105" t="s">
        <v>6</v>
      </c>
      <c r="I40" s="30"/>
    </row>
    <row r="41" spans="1:13" s="26" customFormat="1" x14ac:dyDescent="0.2">
      <c r="A41" s="111" t="s">
        <v>19</v>
      </c>
      <c r="B41" s="102">
        <v>3533</v>
      </c>
      <c r="C41" s="102" t="s">
        <v>36</v>
      </c>
      <c r="D41" s="102">
        <v>1</v>
      </c>
      <c r="E41" s="108" t="s">
        <v>20</v>
      </c>
      <c r="F41" s="102">
        <v>30</v>
      </c>
      <c r="G41" s="102" t="s">
        <v>591</v>
      </c>
      <c r="H41" s="105" t="s">
        <v>6</v>
      </c>
      <c r="I41" s="30"/>
    </row>
    <row r="42" spans="1:13" s="26" customFormat="1" x14ac:dyDescent="0.2">
      <c r="A42" s="111" t="s">
        <v>421</v>
      </c>
      <c r="B42" s="102">
        <v>4228</v>
      </c>
      <c r="C42" s="102" t="s">
        <v>36</v>
      </c>
      <c r="D42" s="102">
        <v>1</v>
      </c>
      <c r="E42" s="108" t="s">
        <v>422</v>
      </c>
      <c r="F42" s="102">
        <v>0</v>
      </c>
      <c r="G42" s="102" t="s">
        <v>591</v>
      </c>
      <c r="H42" s="105"/>
      <c r="I42" s="30"/>
    </row>
    <row r="43" spans="1:13" s="26" customFormat="1" x14ac:dyDescent="0.2">
      <c r="A43" s="111" t="s">
        <v>423</v>
      </c>
      <c r="B43" s="102">
        <v>4229</v>
      </c>
      <c r="C43" s="102" t="s">
        <v>36</v>
      </c>
      <c r="D43" s="102">
        <v>1</v>
      </c>
      <c r="E43" s="108" t="s">
        <v>424</v>
      </c>
      <c r="F43" s="102">
        <v>1</v>
      </c>
      <c r="G43" s="102" t="s">
        <v>591</v>
      </c>
      <c r="H43" s="105"/>
      <c r="I43" s="30"/>
    </row>
    <row r="44" spans="1:13" s="62" customFormat="1" x14ac:dyDescent="0.2">
      <c r="A44" s="111" t="s">
        <v>478</v>
      </c>
      <c r="B44" s="102">
        <v>5895</v>
      </c>
      <c r="C44" s="102" t="s">
        <v>36</v>
      </c>
      <c r="D44" s="102">
        <v>1</v>
      </c>
      <c r="E44" s="108" t="s">
        <v>479</v>
      </c>
      <c r="F44" s="102" t="s">
        <v>4</v>
      </c>
      <c r="G44" s="102" t="s">
        <v>591</v>
      </c>
      <c r="H44" s="105">
        <v>5895</v>
      </c>
      <c r="I44" s="26"/>
      <c r="J44" s="26"/>
      <c r="K44" s="26"/>
      <c r="L44" s="26"/>
      <c r="M44" s="26"/>
    </row>
    <row r="45" spans="1:13" s="26" customFormat="1" ht="13.5" thickBot="1" x14ac:dyDescent="0.25">
      <c r="A45" s="112" t="s">
        <v>466</v>
      </c>
      <c r="B45" s="103">
        <v>4432</v>
      </c>
      <c r="C45" s="103" t="s">
        <v>36</v>
      </c>
      <c r="D45" s="103">
        <v>1</v>
      </c>
      <c r="E45" s="109" t="s">
        <v>464</v>
      </c>
      <c r="F45" s="103" t="s">
        <v>465</v>
      </c>
      <c r="G45" s="103" t="s">
        <v>591</v>
      </c>
      <c r="H45" s="106" t="s">
        <v>467</v>
      </c>
    </row>
    <row r="46" spans="1:13" s="26" customFormat="1" ht="15.75" thickBot="1" x14ac:dyDescent="0.35">
      <c r="A46" s="44"/>
      <c r="B46" s="45"/>
      <c r="C46" s="35"/>
      <c r="D46" s="35"/>
      <c r="E46" s="35"/>
      <c r="F46" s="28"/>
      <c r="G46" s="35"/>
      <c r="H46" s="43"/>
    </row>
    <row r="47" spans="1:13" s="26" customFormat="1" ht="20.25" thickBot="1" x14ac:dyDescent="0.45">
      <c r="A47" s="50" t="s">
        <v>39</v>
      </c>
      <c r="B47" s="51"/>
      <c r="C47" s="51"/>
      <c r="D47" s="51"/>
      <c r="E47" s="51"/>
      <c r="F47" s="51"/>
      <c r="G47" s="51"/>
      <c r="H47" s="52"/>
      <c r="I47" s="41"/>
    </row>
    <row r="48" spans="1:13" s="13" customFormat="1" ht="15.75" thickBot="1" x14ac:dyDescent="0.35">
      <c r="A48" s="46" t="s">
        <v>25</v>
      </c>
      <c r="B48" s="47" t="s">
        <v>26</v>
      </c>
      <c r="C48" s="47" t="s">
        <v>33</v>
      </c>
      <c r="D48" s="46" t="s">
        <v>42</v>
      </c>
      <c r="E48" s="46" t="s">
        <v>41</v>
      </c>
      <c r="F48" s="46" t="s">
        <v>35</v>
      </c>
      <c r="G48" s="42" t="s">
        <v>40</v>
      </c>
      <c r="H48" s="58" t="s">
        <v>45</v>
      </c>
      <c r="I48" s="59" t="s">
        <v>27</v>
      </c>
    </row>
    <row r="49" spans="1:9" s="13" customFormat="1" ht="17.25" x14ac:dyDescent="0.35">
      <c r="A49" s="113" t="s">
        <v>474</v>
      </c>
      <c r="B49" s="114" t="s">
        <v>475</v>
      </c>
      <c r="C49" s="114" t="s">
        <v>58</v>
      </c>
      <c r="D49" s="114"/>
      <c r="E49" s="114"/>
      <c r="F49" s="114"/>
      <c r="G49" s="136" t="s">
        <v>591</v>
      </c>
      <c r="H49" s="115"/>
      <c r="I49" s="73">
        <v>70222</v>
      </c>
    </row>
    <row r="50" spans="1:9" s="13" customFormat="1" ht="17.25" x14ac:dyDescent="0.35">
      <c r="A50" s="116"/>
      <c r="B50" s="117"/>
      <c r="C50" s="117"/>
      <c r="D50" s="117" t="s">
        <v>36</v>
      </c>
      <c r="E50" s="117">
        <v>1</v>
      </c>
      <c r="F50" s="117">
        <v>1</v>
      </c>
      <c r="G50" s="117"/>
      <c r="H50" s="118"/>
      <c r="I50" s="71"/>
    </row>
    <row r="51" spans="1:9" s="30" customFormat="1" ht="17.25" x14ac:dyDescent="0.35">
      <c r="A51" s="116" t="s">
        <v>425</v>
      </c>
      <c r="B51" s="117" t="s">
        <v>426</v>
      </c>
      <c r="C51" s="117" t="s">
        <v>58</v>
      </c>
      <c r="D51" s="117"/>
      <c r="E51" s="117"/>
      <c r="F51" s="117"/>
      <c r="G51" s="136" t="s">
        <v>591</v>
      </c>
      <c r="H51" s="118" t="s">
        <v>6</v>
      </c>
      <c r="I51" s="71">
        <v>65776</v>
      </c>
    </row>
    <row r="52" spans="1:9" s="30" customFormat="1" ht="17.25" x14ac:dyDescent="0.35">
      <c r="A52" s="116"/>
      <c r="B52" s="117"/>
      <c r="C52" s="117"/>
      <c r="D52" s="117" t="s">
        <v>36</v>
      </c>
      <c r="E52" s="117">
        <v>1</v>
      </c>
      <c r="F52" s="117">
        <v>0</v>
      </c>
      <c r="G52" s="117"/>
      <c r="H52" s="118"/>
      <c r="I52" s="71" t="s">
        <v>427</v>
      </c>
    </row>
    <row r="53" spans="1:9" s="30" customFormat="1" ht="17.25" x14ac:dyDescent="0.35">
      <c r="A53" s="116" t="s">
        <v>141</v>
      </c>
      <c r="B53" s="117" t="s">
        <v>110</v>
      </c>
      <c r="C53" s="117" t="s">
        <v>58</v>
      </c>
      <c r="D53" s="117"/>
      <c r="E53" s="117"/>
      <c r="F53" s="117"/>
      <c r="G53" s="136" t="s">
        <v>591</v>
      </c>
      <c r="H53" s="118"/>
      <c r="I53" s="71">
        <v>65777</v>
      </c>
    </row>
    <row r="54" spans="1:9" s="30" customFormat="1" ht="17.25" x14ac:dyDescent="0.35">
      <c r="A54" s="116"/>
      <c r="B54" s="117"/>
      <c r="C54" s="117"/>
      <c r="D54" s="117" t="s">
        <v>36</v>
      </c>
      <c r="E54" s="117">
        <v>1</v>
      </c>
      <c r="F54" s="117">
        <v>0</v>
      </c>
      <c r="G54" s="117"/>
      <c r="H54" s="118"/>
      <c r="I54" s="71"/>
    </row>
    <row r="55" spans="1:9" s="30" customFormat="1" ht="27.75" x14ac:dyDescent="0.35">
      <c r="A55" s="116" t="s">
        <v>428</v>
      </c>
      <c r="B55" s="117" t="s">
        <v>429</v>
      </c>
      <c r="C55" s="117" t="s">
        <v>58</v>
      </c>
      <c r="D55" s="117"/>
      <c r="E55" s="117"/>
      <c r="F55" s="117"/>
      <c r="G55" s="136" t="s">
        <v>591</v>
      </c>
      <c r="H55" s="118"/>
      <c r="I55" s="71">
        <v>67219</v>
      </c>
    </row>
    <row r="56" spans="1:9" s="30" customFormat="1" ht="34.5" x14ac:dyDescent="0.35">
      <c r="A56" s="116"/>
      <c r="B56" s="117"/>
      <c r="C56" s="117"/>
      <c r="D56" s="117" t="s">
        <v>36</v>
      </c>
      <c r="E56" s="117">
        <v>1</v>
      </c>
      <c r="F56" s="117">
        <v>1</v>
      </c>
      <c r="G56" s="117"/>
      <c r="H56" s="118"/>
      <c r="I56" s="71" t="s">
        <v>431</v>
      </c>
    </row>
    <row r="57" spans="1:9" s="30" customFormat="1" ht="27.75" x14ac:dyDescent="0.35">
      <c r="A57" s="116" t="s">
        <v>433</v>
      </c>
      <c r="B57" s="117" t="s">
        <v>430</v>
      </c>
      <c r="C57" s="117" t="s">
        <v>58</v>
      </c>
      <c r="D57" s="117"/>
      <c r="E57" s="117"/>
      <c r="F57" s="117"/>
      <c r="G57" s="136" t="s">
        <v>591</v>
      </c>
      <c r="H57" s="118"/>
      <c r="I57" s="71">
        <v>67220</v>
      </c>
    </row>
    <row r="58" spans="1:9" s="30" customFormat="1" ht="17.25" x14ac:dyDescent="0.35">
      <c r="A58" s="116"/>
      <c r="B58" s="117"/>
      <c r="C58" s="117"/>
      <c r="D58" s="117" t="s">
        <v>36</v>
      </c>
      <c r="E58" s="117">
        <v>2</v>
      </c>
      <c r="F58" s="117">
        <v>2000</v>
      </c>
      <c r="G58" s="117"/>
      <c r="H58" s="118"/>
      <c r="I58" s="71" t="s">
        <v>432</v>
      </c>
    </row>
    <row r="59" spans="1:9" s="30" customFormat="1" ht="17.25" x14ac:dyDescent="0.35">
      <c r="A59" s="116" t="s">
        <v>459</v>
      </c>
      <c r="B59" s="117" t="s">
        <v>460</v>
      </c>
      <c r="C59" s="117" t="s">
        <v>58</v>
      </c>
      <c r="D59" s="117"/>
      <c r="E59" s="117"/>
      <c r="F59" s="117"/>
      <c r="G59" s="136" t="s">
        <v>591</v>
      </c>
      <c r="H59" s="118"/>
      <c r="I59" s="71"/>
    </row>
    <row r="60" spans="1:9" s="30" customFormat="1" ht="17.25" x14ac:dyDescent="0.35">
      <c r="A60" s="116"/>
      <c r="B60" s="117"/>
      <c r="C60" s="117"/>
      <c r="D60" s="117" t="s">
        <v>36</v>
      </c>
      <c r="E60" s="117">
        <v>1</v>
      </c>
      <c r="F60" s="117">
        <v>1</v>
      </c>
      <c r="G60" s="117"/>
      <c r="H60" s="118"/>
      <c r="I60" s="71"/>
    </row>
    <row r="61" spans="1:9" s="30" customFormat="1" ht="17.25" x14ac:dyDescent="0.35">
      <c r="A61" s="116" t="s">
        <v>459</v>
      </c>
      <c r="B61" s="117" t="s">
        <v>461</v>
      </c>
      <c r="C61" s="117" t="s">
        <v>58</v>
      </c>
      <c r="D61" s="117"/>
      <c r="E61" s="117"/>
      <c r="F61" s="117"/>
      <c r="G61" s="136" t="s">
        <v>591</v>
      </c>
      <c r="H61" s="118"/>
      <c r="I61" s="71"/>
    </row>
    <row r="62" spans="1:9" s="30" customFormat="1" ht="17.25" x14ac:dyDescent="0.35">
      <c r="A62" s="116"/>
      <c r="B62" s="117"/>
      <c r="C62" s="117"/>
      <c r="D62" s="117" t="s">
        <v>36</v>
      </c>
      <c r="E62" s="117">
        <v>4</v>
      </c>
      <c r="F62" s="117">
        <v>2000</v>
      </c>
      <c r="G62" s="117"/>
      <c r="H62" s="118"/>
      <c r="I62" s="71"/>
    </row>
    <row r="63" spans="1:9" s="30" customFormat="1" ht="17.25" x14ac:dyDescent="0.35">
      <c r="A63" s="116" t="s">
        <v>161</v>
      </c>
      <c r="B63" s="117" t="s">
        <v>162</v>
      </c>
      <c r="C63" s="117" t="s">
        <v>58</v>
      </c>
      <c r="D63" s="117"/>
      <c r="E63" s="117"/>
      <c r="F63" s="117"/>
      <c r="G63" s="136" t="s">
        <v>591</v>
      </c>
      <c r="H63" s="118"/>
      <c r="I63" s="71">
        <v>66472</v>
      </c>
    </row>
    <row r="64" spans="1:9" s="30" customFormat="1" ht="17.25" x14ac:dyDescent="0.35">
      <c r="A64" s="116"/>
      <c r="B64" s="117"/>
      <c r="C64" s="117"/>
      <c r="D64" s="117" t="s">
        <v>36</v>
      </c>
      <c r="E64" s="117">
        <v>1</v>
      </c>
      <c r="F64" s="117">
        <v>1</v>
      </c>
      <c r="G64" s="117"/>
      <c r="H64" s="118"/>
      <c r="I64" s="71"/>
    </row>
    <row r="65" spans="1:9" s="30" customFormat="1" ht="17.25" x14ac:dyDescent="0.35">
      <c r="A65" s="116" t="s">
        <v>163</v>
      </c>
      <c r="B65" s="117" t="s">
        <v>164</v>
      </c>
      <c r="C65" s="117" t="s">
        <v>58</v>
      </c>
      <c r="D65" s="117"/>
      <c r="E65" s="117"/>
      <c r="F65" s="117"/>
      <c r="G65" s="136" t="s">
        <v>591</v>
      </c>
      <c r="H65" s="118"/>
      <c r="I65" s="71">
        <v>66473</v>
      </c>
    </row>
    <row r="66" spans="1:9" s="30" customFormat="1" ht="17.25" x14ac:dyDescent="0.35">
      <c r="A66" s="116"/>
      <c r="B66" s="117"/>
      <c r="C66" s="117"/>
      <c r="D66" s="117" t="s">
        <v>36</v>
      </c>
      <c r="E66" s="117">
        <v>1</v>
      </c>
      <c r="F66" s="117">
        <v>1</v>
      </c>
      <c r="G66" s="117"/>
      <c r="H66" s="118"/>
      <c r="I66" s="71"/>
    </row>
    <row r="67" spans="1:9" s="30" customFormat="1" ht="17.25" x14ac:dyDescent="0.35">
      <c r="A67" s="116" t="s">
        <v>165</v>
      </c>
      <c r="B67" s="117" t="s">
        <v>166</v>
      </c>
      <c r="C67" s="117" t="s">
        <v>58</v>
      </c>
      <c r="D67" s="117"/>
      <c r="E67" s="117"/>
      <c r="F67" s="117"/>
      <c r="G67" s="136" t="s">
        <v>591</v>
      </c>
      <c r="H67" s="118"/>
      <c r="I67" s="71">
        <v>66048</v>
      </c>
    </row>
    <row r="68" spans="1:9" s="30" customFormat="1" ht="17.25" x14ac:dyDescent="0.35">
      <c r="A68" s="116"/>
      <c r="B68" s="117"/>
      <c r="C68" s="117"/>
      <c r="D68" s="117" t="s">
        <v>36</v>
      </c>
      <c r="E68" s="117">
        <v>1</v>
      </c>
      <c r="F68" s="117">
        <v>3</v>
      </c>
      <c r="G68" s="117"/>
      <c r="H68" s="118"/>
      <c r="I68" s="71"/>
    </row>
    <row r="69" spans="1:9" s="30" customFormat="1" ht="17.25" x14ac:dyDescent="0.35">
      <c r="A69" s="116" t="s">
        <v>343</v>
      </c>
      <c r="B69" s="117" t="s">
        <v>321</v>
      </c>
      <c r="C69" s="117" t="s">
        <v>58</v>
      </c>
      <c r="D69" s="117"/>
      <c r="E69" s="117"/>
      <c r="F69" s="117"/>
      <c r="G69" s="136" t="s">
        <v>591</v>
      </c>
      <c r="H69" s="118"/>
      <c r="I69" s="71">
        <v>70239</v>
      </c>
    </row>
    <row r="70" spans="1:9" s="30" customFormat="1" ht="17.25" x14ac:dyDescent="0.35">
      <c r="A70" s="116"/>
      <c r="B70" s="117"/>
      <c r="C70" s="117"/>
      <c r="D70" s="117" t="s">
        <v>36</v>
      </c>
      <c r="E70" s="117">
        <v>1</v>
      </c>
      <c r="F70" s="117">
        <v>3</v>
      </c>
      <c r="G70" s="117"/>
      <c r="H70" s="118"/>
      <c r="I70" s="71"/>
    </row>
    <row r="71" spans="1:9" s="30" customFormat="1" ht="17.25" x14ac:dyDescent="0.35">
      <c r="A71" s="116" t="s">
        <v>355</v>
      </c>
      <c r="B71" s="117" t="s">
        <v>356</v>
      </c>
      <c r="C71" s="117" t="s">
        <v>58</v>
      </c>
      <c r="D71" s="117"/>
      <c r="E71" s="117"/>
      <c r="F71" s="117"/>
      <c r="G71" s="136" t="s">
        <v>591</v>
      </c>
      <c r="H71" s="118"/>
      <c r="I71" s="71">
        <v>70315</v>
      </c>
    </row>
    <row r="72" spans="1:9" s="30" customFormat="1" ht="17.25" x14ac:dyDescent="0.35">
      <c r="A72" s="116"/>
      <c r="B72" s="117"/>
      <c r="C72" s="117"/>
      <c r="D72" s="117" t="s">
        <v>36</v>
      </c>
      <c r="E72" s="117">
        <v>1</v>
      </c>
      <c r="F72" s="117">
        <v>2</v>
      </c>
      <c r="G72" s="117"/>
      <c r="H72" s="118"/>
      <c r="I72" s="71"/>
    </row>
    <row r="73" spans="1:9" s="30" customFormat="1" ht="17.25" x14ac:dyDescent="0.35">
      <c r="A73" s="116" t="s">
        <v>366</v>
      </c>
      <c r="B73" s="117" t="s">
        <v>365</v>
      </c>
      <c r="C73" s="117" t="s">
        <v>58</v>
      </c>
      <c r="D73" s="117"/>
      <c r="E73" s="117"/>
      <c r="F73" s="117"/>
      <c r="G73" s="136" t="s">
        <v>591</v>
      </c>
      <c r="H73" s="118"/>
      <c r="I73" s="71">
        <v>71554</v>
      </c>
    </row>
    <row r="74" spans="1:9" s="30" customFormat="1" ht="17.25" x14ac:dyDescent="0.35">
      <c r="A74" s="116"/>
      <c r="B74" s="117"/>
      <c r="C74" s="117"/>
      <c r="D74" s="117" t="s">
        <v>36</v>
      </c>
      <c r="E74" s="117">
        <v>1</v>
      </c>
      <c r="F74" s="117">
        <v>1</v>
      </c>
      <c r="G74" s="117"/>
      <c r="H74" s="118"/>
      <c r="I74" s="71" t="s">
        <v>211</v>
      </c>
    </row>
    <row r="75" spans="1:9" s="30" customFormat="1" ht="17.25" x14ac:dyDescent="0.35">
      <c r="A75" s="116"/>
      <c r="B75" s="117"/>
      <c r="C75" s="117"/>
      <c r="D75" s="117" t="s">
        <v>36</v>
      </c>
      <c r="E75" s="117">
        <v>4</v>
      </c>
      <c r="F75" s="117">
        <v>5000</v>
      </c>
      <c r="G75" s="117"/>
      <c r="H75" s="118"/>
      <c r="I75" s="71" t="s">
        <v>364</v>
      </c>
    </row>
    <row r="76" spans="1:9" s="30" customFormat="1" ht="17.25" x14ac:dyDescent="0.35">
      <c r="A76" s="116"/>
      <c r="B76" s="117"/>
      <c r="C76" s="117"/>
      <c r="D76" s="117" t="s">
        <v>36</v>
      </c>
      <c r="E76" s="117">
        <v>1</v>
      </c>
      <c r="F76" s="117">
        <v>1</v>
      </c>
      <c r="G76" s="117"/>
      <c r="H76" s="118"/>
      <c r="I76" s="71" t="s">
        <v>367</v>
      </c>
    </row>
    <row r="77" spans="1:9" s="30" customFormat="1" ht="17.25" x14ac:dyDescent="0.35">
      <c r="A77" s="116"/>
      <c r="B77" s="117"/>
      <c r="C77" s="117"/>
      <c r="D77" s="117" t="s">
        <v>36</v>
      </c>
      <c r="E77" s="117">
        <v>2</v>
      </c>
      <c r="F77" s="117"/>
      <c r="G77" s="117"/>
      <c r="H77" s="118"/>
      <c r="I77" s="71" t="s">
        <v>222</v>
      </c>
    </row>
    <row r="78" spans="1:9" s="30" customFormat="1" ht="17.25" x14ac:dyDescent="0.35">
      <c r="A78" s="116" t="s">
        <v>368</v>
      </c>
      <c r="B78" s="117" t="s">
        <v>369</v>
      </c>
      <c r="C78" s="117" t="s">
        <v>58</v>
      </c>
      <c r="D78" s="117"/>
      <c r="E78" s="117"/>
      <c r="F78" s="117"/>
      <c r="G78" s="136" t="s">
        <v>591</v>
      </c>
      <c r="H78" s="118"/>
      <c r="I78" s="71">
        <v>73545</v>
      </c>
    </row>
    <row r="79" spans="1:9" s="30" customFormat="1" ht="17.25" x14ac:dyDescent="0.35">
      <c r="A79" s="116"/>
      <c r="B79" s="117"/>
      <c r="C79" s="117"/>
      <c r="D79" s="117" t="s">
        <v>36</v>
      </c>
      <c r="E79" s="117">
        <v>1</v>
      </c>
      <c r="F79" s="117">
        <v>0</v>
      </c>
      <c r="G79" s="117"/>
      <c r="H79" s="118"/>
      <c r="I79" s="71" t="s">
        <v>370</v>
      </c>
    </row>
    <row r="80" spans="1:9" s="30" customFormat="1" ht="34.5" x14ac:dyDescent="0.35">
      <c r="A80" s="116"/>
      <c r="B80" s="117"/>
      <c r="C80" s="117"/>
      <c r="D80" s="117" t="s">
        <v>36</v>
      </c>
      <c r="E80" s="117">
        <v>1</v>
      </c>
      <c r="F80" s="117">
        <v>1</v>
      </c>
      <c r="G80" s="117"/>
      <c r="H80" s="118"/>
      <c r="I80" s="71" t="s">
        <v>371</v>
      </c>
    </row>
    <row r="81" spans="1:9" s="30" customFormat="1" ht="17.25" x14ac:dyDescent="0.35">
      <c r="A81" s="116"/>
      <c r="B81" s="117"/>
      <c r="C81" s="117"/>
      <c r="D81" s="117" t="s">
        <v>36</v>
      </c>
      <c r="E81" s="117">
        <v>1</v>
      </c>
      <c r="F81" s="117">
        <v>1</v>
      </c>
      <c r="G81" s="117"/>
      <c r="H81" s="118"/>
      <c r="I81" s="71" t="s">
        <v>372</v>
      </c>
    </row>
    <row r="82" spans="1:9" s="30" customFormat="1" ht="17.25" x14ac:dyDescent="0.35">
      <c r="A82" s="116"/>
      <c r="B82" s="117"/>
      <c r="C82" s="117"/>
      <c r="D82" s="117" t="s">
        <v>36</v>
      </c>
      <c r="E82" s="117">
        <v>1</v>
      </c>
      <c r="F82" s="117">
        <v>5</v>
      </c>
      <c r="G82" s="117"/>
      <c r="H82" s="118"/>
      <c r="I82" s="71" t="s">
        <v>373</v>
      </c>
    </row>
    <row r="83" spans="1:9" s="30" customFormat="1" ht="17.25" x14ac:dyDescent="0.35">
      <c r="A83" s="116"/>
      <c r="B83" s="117"/>
      <c r="C83" s="117"/>
      <c r="D83" s="117" t="s">
        <v>36</v>
      </c>
      <c r="E83" s="117">
        <v>1</v>
      </c>
      <c r="F83" s="117">
        <v>0</v>
      </c>
      <c r="G83" s="117"/>
      <c r="H83" s="118"/>
      <c r="I83" s="71" t="s">
        <v>374</v>
      </c>
    </row>
    <row r="84" spans="1:9" s="30" customFormat="1" ht="17.25" x14ac:dyDescent="0.35">
      <c r="A84" s="116"/>
      <c r="B84" s="117"/>
      <c r="C84" s="117"/>
      <c r="D84" s="117" t="s">
        <v>36</v>
      </c>
      <c r="E84" s="117">
        <v>1</v>
      </c>
      <c r="F84" s="117">
        <v>0</v>
      </c>
      <c r="G84" s="117"/>
      <c r="H84" s="118"/>
      <c r="I84" s="71" t="s">
        <v>375</v>
      </c>
    </row>
    <row r="85" spans="1:9" s="30" customFormat="1" ht="17.25" x14ac:dyDescent="0.35">
      <c r="A85" s="116"/>
      <c r="B85" s="117"/>
      <c r="C85" s="117"/>
      <c r="D85" s="117" t="s">
        <v>36</v>
      </c>
      <c r="E85" s="117">
        <v>1</v>
      </c>
      <c r="F85" s="117">
        <v>0</v>
      </c>
      <c r="G85" s="117"/>
      <c r="H85" s="118"/>
      <c r="I85" s="71" t="s">
        <v>376</v>
      </c>
    </row>
    <row r="86" spans="1:9" s="30" customFormat="1" ht="17.25" x14ac:dyDescent="0.35">
      <c r="A86" s="116"/>
      <c r="B86" s="117"/>
      <c r="C86" s="117"/>
      <c r="D86" s="117" t="s">
        <v>36</v>
      </c>
      <c r="E86" s="117">
        <v>1</v>
      </c>
      <c r="F86" s="117">
        <v>0</v>
      </c>
      <c r="G86" s="117"/>
      <c r="H86" s="118"/>
      <c r="I86" s="71" t="s">
        <v>377</v>
      </c>
    </row>
    <row r="87" spans="1:9" s="30" customFormat="1" ht="17.25" x14ac:dyDescent="0.35">
      <c r="A87" s="116"/>
      <c r="B87" s="117"/>
      <c r="C87" s="117"/>
      <c r="D87" s="117" t="s">
        <v>36</v>
      </c>
      <c r="E87" s="117">
        <v>1</v>
      </c>
      <c r="F87" s="117">
        <v>0</v>
      </c>
      <c r="G87" s="117"/>
      <c r="H87" s="118"/>
      <c r="I87" s="71" t="s">
        <v>378</v>
      </c>
    </row>
    <row r="88" spans="1:9" s="30" customFormat="1" ht="17.25" x14ac:dyDescent="0.35">
      <c r="A88" s="116"/>
      <c r="B88" s="117"/>
      <c r="C88" s="117"/>
      <c r="D88" s="117" t="s">
        <v>36</v>
      </c>
      <c r="E88" s="117">
        <v>1</v>
      </c>
      <c r="F88" s="117">
        <v>0</v>
      </c>
      <c r="G88" s="117"/>
      <c r="H88" s="118"/>
      <c r="I88" s="71" t="s">
        <v>379</v>
      </c>
    </row>
    <row r="89" spans="1:9" s="30" customFormat="1" ht="17.25" x14ac:dyDescent="0.35">
      <c r="A89" s="116"/>
      <c r="B89" s="117"/>
      <c r="C89" s="117"/>
      <c r="D89" s="117" t="s">
        <v>36</v>
      </c>
      <c r="E89" s="117">
        <v>1</v>
      </c>
      <c r="F89" s="117">
        <v>0</v>
      </c>
      <c r="G89" s="117"/>
      <c r="H89" s="118"/>
      <c r="I89" s="71" t="s">
        <v>380</v>
      </c>
    </row>
    <row r="90" spans="1:9" s="30" customFormat="1" ht="17.25" x14ac:dyDescent="0.35">
      <c r="A90" s="116" t="s">
        <v>451</v>
      </c>
      <c r="B90" s="117" t="s">
        <v>452</v>
      </c>
      <c r="C90" s="117" t="s">
        <v>58</v>
      </c>
      <c r="D90" s="117"/>
      <c r="E90" s="117"/>
      <c r="F90" s="117"/>
      <c r="G90" s="136" t="s">
        <v>591</v>
      </c>
      <c r="H90" s="118"/>
      <c r="I90" s="71">
        <v>73544</v>
      </c>
    </row>
    <row r="91" spans="1:9" s="30" customFormat="1" ht="17.25" x14ac:dyDescent="0.35">
      <c r="A91" s="116"/>
      <c r="B91" s="117"/>
      <c r="C91" s="117"/>
      <c r="D91" s="117" t="s">
        <v>36</v>
      </c>
      <c r="E91" s="117">
        <v>1</v>
      </c>
      <c r="F91" s="117" t="s">
        <v>6</v>
      </c>
      <c r="G91" s="117"/>
      <c r="H91" s="118"/>
      <c r="I91" s="71" t="s">
        <v>451</v>
      </c>
    </row>
    <row r="92" spans="1:9" s="30" customFormat="1" ht="17.25" x14ac:dyDescent="0.35">
      <c r="A92" s="116" t="s">
        <v>543</v>
      </c>
      <c r="B92" s="117" t="s">
        <v>544</v>
      </c>
      <c r="C92" s="117" t="s">
        <v>58</v>
      </c>
      <c r="D92" s="117"/>
      <c r="E92" s="117"/>
      <c r="F92" s="117"/>
      <c r="G92" s="136" t="s">
        <v>591</v>
      </c>
      <c r="H92" s="118"/>
      <c r="I92" s="71">
        <v>73538</v>
      </c>
    </row>
    <row r="93" spans="1:9" s="30" customFormat="1" ht="17.25" x14ac:dyDescent="0.35">
      <c r="A93" s="116"/>
      <c r="B93" s="117"/>
      <c r="C93" s="117"/>
      <c r="D93" s="117" t="s">
        <v>36</v>
      </c>
      <c r="E93" s="117">
        <v>1</v>
      </c>
      <c r="F93" s="117">
        <v>1</v>
      </c>
      <c r="G93" s="117"/>
      <c r="H93" s="118"/>
      <c r="I93" s="71" t="s">
        <v>545</v>
      </c>
    </row>
    <row r="94" spans="1:9" s="30" customFormat="1" ht="17.25" x14ac:dyDescent="0.35">
      <c r="A94" s="116"/>
      <c r="B94" s="117"/>
      <c r="C94" s="117"/>
      <c r="D94" s="117" t="s">
        <v>36</v>
      </c>
      <c r="E94" s="117">
        <v>1</v>
      </c>
      <c r="F94" s="117">
        <v>1</v>
      </c>
      <c r="G94" s="117"/>
      <c r="H94" s="118"/>
      <c r="I94" s="71" t="s">
        <v>546</v>
      </c>
    </row>
    <row r="95" spans="1:9" s="30" customFormat="1" ht="27.75" x14ac:dyDescent="0.35">
      <c r="A95" s="116" t="s">
        <v>548</v>
      </c>
      <c r="B95" s="117" t="s">
        <v>549</v>
      </c>
      <c r="C95" s="117" t="s">
        <v>488</v>
      </c>
      <c r="D95" s="117"/>
      <c r="E95" s="117"/>
      <c r="F95" s="117"/>
      <c r="G95" s="136" t="s">
        <v>591</v>
      </c>
      <c r="H95" s="118" t="s">
        <v>823</v>
      </c>
      <c r="I95" s="71" t="s">
        <v>6</v>
      </c>
    </row>
    <row r="96" spans="1:9" s="30" customFormat="1" ht="27.75" x14ac:dyDescent="0.35">
      <c r="A96" s="116" t="s">
        <v>861</v>
      </c>
      <c r="B96" s="117" t="s">
        <v>859</v>
      </c>
      <c r="C96" s="117" t="s">
        <v>488</v>
      </c>
      <c r="D96" s="117"/>
      <c r="E96" s="117"/>
      <c r="F96" s="117"/>
      <c r="G96" s="136" t="s">
        <v>591</v>
      </c>
      <c r="H96" s="118" t="s">
        <v>860</v>
      </c>
      <c r="I96" s="71" t="s">
        <v>6</v>
      </c>
    </row>
    <row r="97" spans="1:13" s="30" customFormat="1" ht="27.75" x14ac:dyDescent="0.35">
      <c r="A97" s="116" t="s">
        <v>611</v>
      </c>
      <c r="B97" s="117" t="s">
        <v>612</v>
      </c>
      <c r="C97" s="117" t="s">
        <v>488</v>
      </c>
      <c r="D97" s="117"/>
      <c r="E97" s="117"/>
      <c r="F97" s="117"/>
      <c r="G97" s="117" t="s">
        <v>591</v>
      </c>
      <c r="H97" s="118" t="s">
        <v>824</v>
      </c>
      <c r="I97" s="71" t="s">
        <v>6</v>
      </c>
    </row>
    <row r="98" spans="1:13" s="30" customFormat="1" ht="27.75" x14ac:dyDescent="0.35">
      <c r="A98" s="116" t="s">
        <v>614</v>
      </c>
      <c r="B98" s="117" t="s">
        <v>615</v>
      </c>
      <c r="C98" s="117" t="s">
        <v>488</v>
      </c>
      <c r="D98" s="117"/>
      <c r="E98" s="117"/>
      <c r="F98" s="117"/>
      <c r="G98" s="117" t="s">
        <v>591</v>
      </c>
      <c r="H98" s="118" t="s">
        <v>825</v>
      </c>
      <c r="I98" s="71" t="s">
        <v>6</v>
      </c>
    </row>
    <row r="99" spans="1:13" s="30" customFormat="1" ht="17.25" x14ac:dyDescent="0.35">
      <c r="A99" s="116" t="s">
        <v>551</v>
      </c>
      <c r="B99" s="117" t="s">
        <v>590</v>
      </c>
      <c r="C99" s="117" t="s">
        <v>488</v>
      </c>
      <c r="D99" s="117"/>
      <c r="E99" s="117"/>
      <c r="F99" s="117"/>
      <c r="G99" s="117" t="s">
        <v>591</v>
      </c>
      <c r="H99" s="118" t="s">
        <v>826</v>
      </c>
      <c r="I99" s="71" t="s">
        <v>555</v>
      </c>
    </row>
    <row r="100" spans="1:13" s="30" customFormat="1" ht="34.5" x14ac:dyDescent="0.35">
      <c r="A100" s="116" t="s">
        <v>552</v>
      </c>
      <c r="B100" s="117" t="s">
        <v>592</v>
      </c>
      <c r="C100" s="117" t="s">
        <v>488</v>
      </c>
      <c r="D100" s="117"/>
      <c r="E100" s="117"/>
      <c r="F100" s="117"/>
      <c r="G100" s="117" t="s">
        <v>591</v>
      </c>
      <c r="H100" s="118" t="s">
        <v>827</v>
      </c>
      <c r="I100" s="71" t="s">
        <v>866</v>
      </c>
    </row>
    <row r="101" spans="1:13" s="30" customFormat="1" ht="34.5" x14ac:dyDescent="0.35">
      <c r="A101" s="116" t="s">
        <v>493</v>
      </c>
      <c r="B101" s="117" t="s">
        <v>593</v>
      </c>
      <c r="C101" s="117" t="s">
        <v>488</v>
      </c>
      <c r="D101" s="117"/>
      <c r="E101" s="117"/>
      <c r="F101" s="117"/>
      <c r="G101" s="117" t="s">
        <v>591</v>
      </c>
      <c r="H101" s="118" t="s">
        <v>828</v>
      </c>
      <c r="I101" s="71" t="s">
        <v>865</v>
      </c>
    </row>
    <row r="102" spans="1:13" s="30" customFormat="1" ht="34.5" x14ac:dyDescent="0.35">
      <c r="A102" s="116" t="s">
        <v>862</v>
      </c>
      <c r="B102" s="117" t="s">
        <v>863</v>
      </c>
      <c r="C102" s="117" t="s">
        <v>488</v>
      </c>
      <c r="D102" s="117"/>
      <c r="E102" s="117"/>
      <c r="F102" s="117"/>
      <c r="G102" s="117" t="s">
        <v>591</v>
      </c>
      <c r="H102" s="118" t="s">
        <v>864</v>
      </c>
      <c r="I102" s="71" t="s">
        <v>867</v>
      </c>
    </row>
    <row r="103" spans="1:13" s="30" customFormat="1" ht="17.25" x14ac:dyDescent="0.35">
      <c r="A103" s="116" t="s">
        <v>486</v>
      </c>
      <c r="B103" s="117" t="s">
        <v>487</v>
      </c>
      <c r="C103" s="117" t="s">
        <v>488</v>
      </c>
      <c r="D103" s="117"/>
      <c r="E103" s="117"/>
      <c r="F103" s="117"/>
      <c r="G103" s="136" t="s">
        <v>591</v>
      </c>
      <c r="H103" s="118" t="s">
        <v>829</v>
      </c>
      <c r="I103" s="71"/>
    </row>
    <row r="104" spans="1:13" s="30" customFormat="1" ht="17.25" x14ac:dyDescent="0.35">
      <c r="A104" s="116" t="s">
        <v>489</v>
      </c>
      <c r="B104" s="117" t="s">
        <v>490</v>
      </c>
      <c r="C104" s="117" t="s">
        <v>488</v>
      </c>
      <c r="D104" s="117"/>
      <c r="E104" s="117"/>
      <c r="F104" s="117"/>
      <c r="G104" s="136" t="s">
        <v>591</v>
      </c>
      <c r="H104" s="118" t="s">
        <v>830</v>
      </c>
      <c r="I104" s="71"/>
    </row>
    <row r="105" spans="1:13" s="30" customFormat="1" ht="17.25" x14ac:dyDescent="0.35">
      <c r="A105" s="116" t="s">
        <v>491</v>
      </c>
      <c r="B105" s="117" t="s">
        <v>492</v>
      </c>
      <c r="C105" s="117" t="s">
        <v>488</v>
      </c>
      <c r="D105" s="117"/>
      <c r="E105" s="117"/>
      <c r="F105" s="117"/>
      <c r="G105" s="136" t="s">
        <v>591</v>
      </c>
      <c r="H105" s="118" t="s">
        <v>831</v>
      </c>
      <c r="I105" s="71"/>
    </row>
    <row r="106" spans="1:13" s="30" customFormat="1" ht="27.75" x14ac:dyDescent="0.35">
      <c r="A106" s="116" t="s">
        <v>569</v>
      </c>
      <c r="B106" s="117" t="s">
        <v>570</v>
      </c>
      <c r="C106" s="117" t="s">
        <v>488</v>
      </c>
      <c r="D106" s="117"/>
      <c r="E106" s="117"/>
      <c r="F106" s="117"/>
      <c r="G106" s="136" t="s">
        <v>591</v>
      </c>
      <c r="H106" s="118" t="s">
        <v>832</v>
      </c>
      <c r="I106" s="71"/>
    </row>
    <row r="107" spans="1:13" s="30" customFormat="1" ht="17.25" x14ac:dyDescent="0.35">
      <c r="A107" s="116" t="s">
        <v>597</v>
      </c>
      <c r="B107" s="117" t="s">
        <v>598</v>
      </c>
      <c r="C107" s="117" t="s">
        <v>488</v>
      </c>
      <c r="D107" s="117"/>
      <c r="E107" s="117"/>
      <c r="F107" s="117"/>
      <c r="G107" s="117" t="s">
        <v>591</v>
      </c>
      <c r="H107" s="118" t="s">
        <v>833</v>
      </c>
      <c r="I107" s="71" t="s">
        <v>600</v>
      </c>
    </row>
    <row r="108" spans="1:13" s="30" customFormat="1" ht="17.25" x14ac:dyDescent="0.35">
      <c r="A108" s="116" t="s">
        <v>601</v>
      </c>
      <c r="B108" s="117" t="s">
        <v>602</v>
      </c>
      <c r="C108" s="117" t="s">
        <v>488</v>
      </c>
      <c r="D108" s="117"/>
      <c r="E108" s="117"/>
      <c r="F108" s="117"/>
      <c r="G108" s="117" t="s">
        <v>591</v>
      </c>
      <c r="H108" s="118" t="s">
        <v>834</v>
      </c>
      <c r="I108" s="71" t="s">
        <v>600</v>
      </c>
    </row>
    <row r="109" spans="1:13" s="30" customFormat="1" ht="27.75" x14ac:dyDescent="0.35">
      <c r="A109" s="116" t="s">
        <v>604</v>
      </c>
      <c r="B109" s="117" t="s">
        <v>605</v>
      </c>
      <c r="C109" s="117" t="s">
        <v>488</v>
      </c>
      <c r="D109" s="117"/>
      <c r="E109" s="117"/>
      <c r="F109" s="117"/>
      <c r="G109" s="117" t="s">
        <v>591</v>
      </c>
      <c r="H109" s="118" t="s">
        <v>835</v>
      </c>
      <c r="I109" s="71" t="s">
        <v>600</v>
      </c>
    </row>
    <row r="110" spans="1:13" s="30" customFormat="1" ht="17.25" x14ac:dyDescent="0.35">
      <c r="A110" s="116"/>
      <c r="B110" s="117"/>
      <c r="C110" s="117"/>
      <c r="D110" s="117"/>
      <c r="E110" s="117"/>
      <c r="F110" s="117"/>
      <c r="G110" s="117"/>
      <c r="H110" s="118"/>
      <c r="I110" s="71"/>
    </row>
    <row r="111" spans="1:13" s="30" customFormat="1" ht="17.25" x14ac:dyDescent="0.35">
      <c r="A111" s="116" t="s">
        <v>564</v>
      </c>
      <c r="B111" s="117"/>
      <c r="C111" s="117"/>
      <c r="D111" s="117"/>
      <c r="E111" s="117"/>
      <c r="F111" s="117"/>
      <c r="G111" s="117"/>
      <c r="H111" s="118"/>
      <c r="I111" s="71"/>
    </row>
    <row r="112" spans="1:13" s="68" customFormat="1" ht="17.25" customHeight="1" x14ac:dyDescent="0.35">
      <c r="A112" s="116" t="s">
        <v>170</v>
      </c>
      <c r="B112" s="117" t="s">
        <v>53</v>
      </c>
      <c r="C112" s="117" t="s">
        <v>58</v>
      </c>
      <c r="D112" s="117"/>
      <c r="E112" s="117"/>
      <c r="F112" s="117"/>
      <c r="G112" s="136" t="s">
        <v>591</v>
      </c>
      <c r="H112" s="118"/>
      <c r="I112" s="65">
        <v>65956</v>
      </c>
      <c r="J112" s="30"/>
      <c r="K112" s="30"/>
      <c r="L112" s="30"/>
      <c r="M112" s="30"/>
    </row>
    <row r="113" spans="1:13" s="68" customFormat="1" ht="17.25" customHeight="1" x14ac:dyDescent="0.35">
      <c r="A113" s="116"/>
      <c r="B113" s="117"/>
      <c r="C113" s="117"/>
      <c r="D113" s="117" t="s">
        <v>36</v>
      </c>
      <c r="E113" s="117">
        <v>2</v>
      </c>
      <c r="F113" s="117">
        <v>0</v>
      </c>
      <c r="G113" s="117"/>
      <c r="H113" s="118"/>
      <c r="I113" s="65" t="s">
        <v>617</v>
      </c>
      <c r="J113" s="30"/>
      <c r="K113" s="30"/>
      <c r="L113" s="30"/>
      <c r="M113" s="30"/>
    </row>
    <row r="114" spans="1:13" s="68" customFormat="1" ht="17.25" customHeight="1" x14ac:dyDescent="0.35">
      <c r="A114" s="116" t="s">
        <v>169</v>
      </c>
      <c r="B114" s="117" t="s">
        <v>167</v>
      </c>
      <c r="C114" s="117" t="s">
        <v>58</v>
      </c>
      <c r="D114" s="117"/>
      <c r="E114" s="117"/>
      <c r="F114" s="117"/>
      <c r="G114" s="136" t="s">
        <v>591</v>
      </c>
      <c r="H114" s="118"/>
      <c r="I114" s="65">
        <v>65961</v>
      </c>
      <c r="J114" s="30"/>
      <c r="K114" s="30"/>
      <c r="L114" s="30"/>
      <c r="M114" s="30"/>
    </row>
    <row r="115" spans="1:13" s="68" customFormat="1" ht="17.25" customHeight="1" x14ac:dyDescent="0.35">
      <c r="A115" s="116"/>
      <c r="B115" s="117"/>
      <c r="C115" s="117"/>
      <c r="D115" s="117" t="s">
        <v>36</v>
      </c>
      <c r="E115" s="117">
        <v>1</v>
      </c>
      <c r="F115" s="117">
        <v>0</v>
      </c>
      <c r="G115" s="117"/>
      <c r="H115" s="118"/>
      <c r="I115" s="65" t="s">
        <v>618</v>
      </c>
      <c r="J115" s="30"/>
      <c r="K115" s="30"/>
      <c r="L115" s="30"/>
      <c r="M115" s="30"/>
    </row>
    <row r="116" spans="1:13" s="68" customFormat="1" ht="17.25" customHeight="1" x14ac:dyDescent="0.35">
      <c r="A116" s="116" t="s">
        <v>54</v>
      </c>
      <c r="B116" s="117" t="s">
        <v>55</v>
      </c>
      <c r="C116" s="117" t="s">
        <v>58</v>
      </c>
      <c r="D116" s="117"/>
      <c r="E116" s="117"/>
      <c r="F116" s="117"/>
      <c r="G116" s="136" t="s">
        <v>591</v>
      </c>
      <c r="H116" s="118"/>
      <c r="I116" s="65">
        <v>67218</v>
      </c>
      <c r="J116" s="30"/>
      <c r="K116" s="30"/>
      <c r="L116" s="30"/>
      <c r="M116" s="30"/>
    </row>
    <row r="117" spans="1:13" s="68" customFormat="1" ht="17.25" customHeight="1" x14ac:dyDescent="0.35">
      <c r="A117" s="116"/>
      <c r="B117" s="117"/>
      <c r="C117" s="117"/>
      <c r="D117" s="117" t="s">
        <v>36</v>
      </c>
      <c r="E117" s="117">
        <v>1</v>
      </c>
      <c r="F117" s="117">
        <v>1</v>
      </c>
      <c r="G117" s="117"/>
      <c r="H117" s="118"/>
      <c r="I117" s="65" t="s">
        <v>619</v>
      </c>
      <c r="J117" s="30"/>
      <c r="K117" s="30"/>
      <c r="L117" s="30"/>
      <c r="M117" s="30"/>
    </row>
    <row r="118" spans="1:13" s="68" customFormat="1" ht="17.25" customHeight="1" x14ac:dyDescent="0.35">
      <c r="A118" s="116" t="s">
        <v>56</v>
      </c>
      <c r="B118" s="117" t="s">
        <v>57</v>
      </c>
      <c r="C118" s="117" t="s">
        <v>58</v>
      </c>
      <c r="D118" s="117"/>
      <c r="E118" s="117"/>
      <c r="F118" s="117"/>
      <c r="G118" s="136" t="s">
        <v>591</v>
      </c>
      <c r="H118" s="118"/>
      <c r="I118" s="65">
        <v>67261</v>
      </c>
      <c r="J118" s="30"/>
      <c r="K118" s="30"/>
      <c r="L118" s="30"/>
      <c r="M118" s="30"/>
    </row>
    <row r="119" spans="1:13" s="68" customFormat="1" ht="17.25" customHeight="1" x14ac:dyDescent="0.35">
      <c r="A119" s="116"/>
      <c r="B119" s="117"/>
      <c r="C119" s="117"/>
      <c r="D119" s="117" t="s">
        <v>36</v>
      </c>
      <c r="E119" s="117">
        <v>2</v>
      </c>
      <c r="F119" s="117">
        <v>0</v>
      </c>
      <c r="G119" s="117"/>
      <c r="H119" s="118"/>
      <c r="I119" s="65" t="s">
        <v>171</v>
      </c>
      <c r="J119" s="30"/>
      <c r="K119" s="30"/>
      <c r="L119" s="30"/>
      <c r="M119" s="30"/>
    </row>
    <row r="120" spans="1:13" s="68" customFormat="1" ht="17.25" customHeight="1" x14ac:dyDescent="0.35">
      <c r="A120" s="116"/>
      <c r="B120" s="117"/>
      <c r="C120" s="117"/>
      <c r="D120" s="117" t="s">
        <v>36</v>
      </c>
      <c r="E120" s="117">
        <v>2</v>
      </c>
      <c r="F120" s="117">
        <v>0</v>
      </c>
      <c r="G120" s="117"/>
      <c r="H120" s="118"/>
      <c r="I120" s="65" t="s">
        <v>620</v>
      </c>
      <c r="J120" s="30"/>
      <c r="K120" s="30"/>
      <c r="L120" s="30"/>
      <c r="M120" s="30"/>
    </row>
    <row r="121" spans="1:13" s="68" customFormat="1" ht="17.25" customHeight="1" x14ac:dyDescent="0.35">
      <c r="A121" s="116"/>
      <c r="B121" s="117"/>
      <c r="C121" s="117"/>
      <c r="D121" s="117" t="s">
        <v>36</v>
      </c>
      <c r="E121" s="117">
        <v>1</v>
      </c>
      <c r="F121" s="117">
        <v>0</v>
      </c>
      <c r="G121" s="117"/>
      <c r="H121" s="118"/>
      <c r="I121" s="65" t="s">
        <v>621</v>
      </c>
      <c r="J121" s="30"/>
      <c r="K121" s="30"/>
      <c r="L121" s="30"/>
      <c r="M121" s="30"/>
    </row>
    <row r="122" spans="1:13" s="68" customFormat="1" ht="17.25" customHeight="1" x14ac:dyDescent="0.35">
      <c r="A122" s="116"/>
      <c r="B122" s="117"/>
      <c r="C122" s="117"/>
      <c r="D122" s="117" t="s">
        <v>36</v>
      </c>
      <c r="E122" s="117">
        <v>1</v>
      </c>
      <c r="F122" s="117">
        <v>1</v>
      </c>
      <c r="G122" s="117"/>
      <c r="H122" s="118"/>
      <c r="I122" s="65" t="s">
        <v>59</v>
      </c>
      <c r="J122" s="30"/>
      <c r="K122" s="30"/>
      <c r="L122" s="30"/>
      <c r="M122" s="30"/>
    </row>
    <row r="123" spans="1:13" s="68" customFormat="1" ht="17.25" customHeight="1" x14ac:dyDescent="0.35">
      <c r="A123" s="116"/>
      <c r="B123" s="117"/>
      <c r="C123" s="117"/>
      <c r="D123" s="117" t="s">
        <v>36</v>
      </c>
      <c r="E123" s="117">
        <v>2</v>
      </c>
      <c r="F123" s="117">
        <v>0</v>
      </c>
      <c r="G123" s="117"/>
      <c r="H123" s="118"/>
      <c r="I123" s="65" t="s">
        <v>172</v>
      </c>
      <c r="J123" s="30"/>
      <c r="K123" s="30"/>
      <c r="L123" s="30"/>
      <c r="M123" s="30"/>
    </row>
    <row r="124" spans="1:13" s="68" customFormat="1" ht="17.25" customHeight="1" x14ac:dyDescent="0.35">
      <c r="A124" s="116"/>
      <c r="B124" s="117"/>
      <c r="C124" s="117"/>
      <c r="D124" s="117" t="s">
        <v>36</v>
      </c>
      <c r="E124" s="117">
        <v>1</v>
      </c>
      <c r="F124" s="117">
        <v>0</v>
      </c>
      <c r="G124" s="117"/>
      <c r="H124" s="118"/>
      <c r="I124" s="65" t="s">
        <v>60</v>
      </c>
      <c r="J124" s="30"/>
      <c r="K124" s="30"/>
      <c r="L124" s="30"/>
      <c r="M124" s="30"/>
    </row>
    <row r="125" spans="1:13" s="68" customFormat="1" ht="17.25" customHeight="1" x14ac:dyDescent="0.35">
      <c r="A125" s="116"/>
      <c r="B125" s="117"/>
      <c r="C125" s="117"/>
      <c r="D125" s="117" t="s">
        <v>36</v>
      </c>
      <c r="E125" s="117">
        <v>4</v>
      </c>
      <c r="F125" s="117">
        <v>0</v>
      </c>
      <c r="G125" s="117"/>
      <c r="H125" s="118"/>
      <c r="I125" s="65" t="s">
        <v>61</v>
      </c>
      <c r="J125" s="30"/>
      <c r="K125" s="30"/>
      <c r="L125" s="30"/>
      <c r="M125" s="30"/>
    </row>
    <row r="126" spans="1:13" s="68" customFormat="1" ht="17.25" customHeight="1" x14ac:dyDescent="0.35">
      <c r="A126" s="116"/>
      <c r="B126" s="117"/>
      <c r="C126" s="117"/>
      <c r="D126" s="117" t="s">
        <v>36</v>
      </c>
      <c r="E126" s="117">
        <v>1</v>
      </c>
      <c r="F126" s="117">
        <v>2</v>
      </c>
      <c r="G126" s="117"/>
      <c r="H126" s="118"/>
      <c r="I126" s="65" t="s">
        <v>62</v>
      </c>
      <c r="J126" s="30"/>
      <c r="K126" s="30"/>
      <c r="L126" s="30"/>
      <c r="M126" s="30"/>
    </row>
    <row r="127" spans="1:13" s="68" customFormat="1" ht="17.25" customHeight="1" x14ac:dyDescent="0.35">
      <c r="A127" s="116" t="s">
        <v>63</v>
      </c>
      <c r="B127" s="117" t="s">
        <v>64</v>
      </c>
      <c r="C127" s="117" t="s">
        <v>58</v>
      </c>
      <c r="D127" s="117"/>
      <c r="E127" s="117"/>
      <c r="F127" s="117"/>
      <c r="G127" s="136" t="s">
        <v>591</v>
      </c>
      <c r="H127" s="118"/>
      <c r="I127" s="65">
        <v>67264</v>
      </c>
      <c r="J127" s="30"/>
      <c r="K127" s="30"/>
      <c r="L127" s="30"/>
      <c r="M127" s="30"/>
    </row>
    <row r="128" spans="1:13" s="68" customFormat="1" ht="17.25" customHeight="1" x14ac:dyDescent="0.35">
      <c r="A128" s="116"/>
      <c r="B128" s="117"/>
      <c r="C128" s="117"/>
      <c r="D128" s="117" t="s">
        <v>36</v>
      </c>
      <c r="E128" s="117">
        <v>1</v>
      </c>
      <c r="F128" s="117">
        <v>1</v>
      </c>
      <c r="G128" s="117"/>
      <c r="H128" s="118"/>
      <c r="I128" s="65" t="s">
        <v>155</v>
      </c>
      <c r="J128" s="30"/>
      <c r="K128" s="30"/>
      <c r="L128" s="30"/>
      <c r="M128" s="30"/>
    </row>
    <row r="129" spans="1:13" s="68" customFormat="1" ht="17.25" customHeight="1" x14ac:dyDescent="0.35">
      <c r="A129" s="116"/>
      <c r="B129" s="117"/>
      <c r="C129" s="117"/>
      <c r="D129" s="117" t="s">
        <v>36</v>
      </c>
      <c r="E129" s="117">
        <v>1</v>
      </c>
      <c r="F129" s="117">
        <v>2</v>
      </c>
      <c r="G129" s="117"/>
      <c r="H129" s="118"/>
      <c r="I129" s="65" t="s">
        <v>156</v>
      </c>
      <c r="J129" s="30"/>
      <c r="K129" s="30"/>
      <c r="L129" s="30"/>
      <c r="M129" s="30"/>
    </row>
    <row r="130" spans="1:13" s="68" customFormat="1" ht="17.25" customHeight="1" x14ac:dyDescent="0.35">
      <c r="A130" s="116"/>
      <c r="B130" s="117"/>
      <c r="C130" s="117"/>
      <c r="D130" s="117" t="s">
        <v>37</v>
      </c>
      <c r="E130" s="117">
        <v>32</v>
      </c>
      <c r="F130" s="117" t="s">
        <v>221</v>
      </c>
      <c r="G130" s="117"/>
      <c r="H130" s="118"/>
      <c r="I130" s="65" t="s">
        <v>157</v>
      </c>
      <c r="J130" s="30"/>
      <c r="K130" s="30"/>
      <c r="L130" s="30"/>
      <c r="M130" s="30"/>
    </row>
    <row r="131" spans="1:13" s="68" customFormat="1" ht="17.25" customHeight="1" x14ac:dyDescent="0.35">
      <c r="A131" s="116"/>
      <c r="B131" s="117"/>
      <c r="C131" s="117"/>
      <c r="D131" s="117" t="s">
        <v>36</v>
      </c>
      <c r="E131" s="117">
        <v>1</v>
      </c>
      <c r="F131" s="117">
        <v>1</v>
      </c>
      <c r="G131" s="117"/>
      <c r="H131" s="118"/>
      <c r="I131" s="65" t="s">
        <v>65</v>
      </c>
      <c r="J131" s="30"/>
      <c r="K131" s="30"/>
      <c r="L131" s="30"/>
      <c r="M131" s="30"/>
    </row>
    <row r="132" spans="1:13" s="68" customFormat="1" ht="17.25" customHeight="1" x14ac:dyDescent="0.35">
      <c r="A132" s="116"/>
      <c r="B132" s="117"/>
      <c r="C132" s="117"/>
      <c r="D132" s="117" t="s">
        <v>36</v>
      </c>
      <c r="E132" s="117">
        <v>1</v>
      </c>
      <c r="F132" s="117">
        <v>1</v>
      </c>
      <c r="G132" s="117"/>
      <c r="H132" s="118"/>
      <c r="I132" s="65" t="s">
        <v>66</v>
      </c>
      <c r="J132" s="30"/>
      <c r="K132" s="30"/>
      <c r="L132" s="30"/>
      <c r="M132" s="30"/>
    </row>
    <row r="133" spans="1:13" s="68" customFormat="1" ht="17.25" customHeight="1" x14ac:dyDescent="0.35">
      <c r="A133" s="116"/>
      <c r="B133" s="117"/>
      <c r="C133" s="117"/>
      <c r="D133" s="117" t="s">
        <v>36</v>
      </c>
      <c r="E133" s="117">
        <v>1</v>
      </c>
      <c r="F133" s="117">
        <v>0</v>
      </c>
      <c r="G133" s="117"/>
      <c r="H133" s="118"/>
      <c r="I133" s="65" t="s">
        <v>67</v>
      </c>
      <c r="J133" s="30"/>
      <c r="K133" s="30"/>
      <c r="L133" s="30"/>
      <c r="M133" s="30"/>
    </row>
    <row r="134" spans="1:13" s="68" customFormat="1" ht="17.25" customHeight="1" x14ac:dyDescent="0.35">
      <c r="A134" s="116"/>
      <c r="B134" s="117"/>
      <c r="C134" s="117"/>
      <c r="D134" s="117" t="s">
        <v>36</v>
      </c>
      <c r="E134" s="117">
        <v>1</v>
      </c>
      <c r="F134" s="117">
        <v>0</v>
      </c>
      <c r="G134" s="117"/>
      <c r="H134" s="118"/>
      <c r="I134" s="65" t="s">
        <v>68</v>
      </c>
      <c r="J134" s="30"/>
      <c r="K134" s="30"/>
      <c r="L134" s="30"/>
      <c r="M134" s="30"/>
    </row>
    <row r="135" spans="1:13" s="68" customFormat="1" ht="17.25" customHeight="1" x14ac:dyDescent="0.35">
      <c r="A135" s="116"/>
      <c r="B135" s="117"/>
      <c r="C135" s="117"/>
      <c r="D135" s="117" t="s">
        <v>37</v>
      </c>
      <c r="E135" s="117">
        <v>256</v>
      </c>
      <c r="F135" s="117"/>
      <c r="G135" s="117"/>
      <c r="H135" s="118"/>
      <c r="I135" s="65" t="s">
        <v>69</v>
      </c>
      <c r="J135" s="30"/>
      <c r="K135" s="30"/>
      <c r="L135" s="30"/>
      <c r="M135" s="30"/>
    </row>
    <row r="136" spans="1:13" s="68" customFormat="1" ht="17.25" customHeight="1" x14ac:dyDescent="0.35">
      <c r="A136" s="116"/>
      <c r="B136" s="117"/>
      <c r="C136" s="117"/>
      <c r="D136" s="117" t="s">
        <v>36</v>
      </c>
      <c r="E136" s="117">
        <v>1</v>
      </c>
      <c r="F136" s="117">
        <v>10</v>
      </c>
      <c r="G136" s="117"/>
      <c r="H136" s="118"/>
      <c r="I136" s="65" t="s">
        <v>154</v>
      </c>
      <c r="J136" s="30"/>
      <c r="K136" s="30"/>
      <c r="L136" s="30"/>
      <c r="M136" s="30"/>
    </row>
    <row r="137" spans="1:13" s="68" customFormat="1" ht="17.25" customHeight="1" x14ac:dyDescent="0.35">
      <c r="A137" s="116"/>
      <c r="B137" s="117"/>
      <c r="C137" s="117"/>
      <c r="D137" s="117" t="s">
        <v>36</v>
      </c>
      <c r="E137" s="117">
        <v>1</v>
      </c>
      <c r="F137" s="117">
        <v>0</v>
      </c>
      <c r="G137" s="117"/>
      <c r="H137" s="118"/>
      <c r="I137" s="65" t="s">
        <v>622</v>
      </c>
      <c r="J137" s="30"/>
      <c r="K137" s="30"/>
      <c r="L137" s="30"/>
      <c r="M137" s="30"/>
    </row>
    <row r="138" spans="1:13" s="68" customFormat="1" ht="17.25" customHeight="1" x14ac:dyDescent="0.35">
      <c r="A138" s="116"/>
      <c r="B138" s="117"/>
      <c r="C138" s="117"/>
      <c r="D138" s="117" t="s">
        <v>36</v>
      </c>
      <c r="E138" s="117">
        <v>1</v>
      </c>
      <c r="F138" s="117">
        <v>0</v>
      </c>
      <c r="G138" s="117"/>
      <c r="H138" s="118"/>
      <c r="I138" s="65" t="s">
        <v>70</v>
      </c>
      <c r="J138" s="30"/>
      <c r="K138" s="30"/>
      <c r="L138" s="30"/>
      <c r="M138" s="30"/>
    </row>
    <row r="139" spans="1:13" s="68" customFormat="1" ht="17.25" customHeight="1" x14ac:dyDescent="0.35">
      <c r="A139" s="116"/>
      <c r="B139" s="117"/>
      <c r="C139" s="117"/>
      <c r="D139" s="117" t="s">
        <v>36</v>
      </c>
      <c r="E139" s="117">
        <v>2</v>
      </c>
      <c r="F139" s="117">
        <v>0</v>
      </c>
      <c r="G139" s="117"/>
      <c r="H139" s="118"/>
      <c r="I139" s="65" t="s">
        <v>71</v>
      </c>
      <c r="J139" s="30"/>
      <c r="K139" s="30"/>
      <c r="L139" s="30"/>
      <c r="M139" s="30"/>
    </row>
    <row r="140" spans="1:13" s="68" customFormat="1" ht="17.25" customHeight="1" x14ac:dyDescent="0.35">
      <c r="A140" s="116"/>
      <c r="B140" s="117"/>
      <c r="C140" s="117"/>
      <c r="D140" s="117" t="s">
        <v>36</v>
      </c>
      <c r="E140" s="117">
        <v>1</v>
      </c>
      <c r="F140" s="117">
        <v>0</v>
      </c>
      <c r="G140" s="117"/>
      <c r="H140" s="118"/>
      <c r="I140" s="65" t="s">
        <v>72</v>
      </c>
      <c r="J140" s="30"/>
      <c r="K140" s="30"/>
      <c r="L140" s="30"/>
      <c r="M140" s="30"/>
    </row>
    <row r="141" spans="1:13" s="68" customFormat="1" ht="17.25" customHeight="1" x14ac:dyDescent="0.35">
      <c r="A141" s="116"/>
      <c r="B141" s="117"/>
      <c r="C141" s="117"/>
      <c r="D141" s="117" t="s">
        <v>36</v>
      </c>
      <c r="E141" s="117">
        <v>1</v>
      </c>
      <c r="F141" s="117">
        <v>0</v>
      </c>
      <c r="G141" s="117"/>
      <c r="H141" s="118"/>
      <c r="I141" s="65" t="s">
        <v>73</v>
      </c>
      <c r="J141" s="30"/>
      <c r="K141" s="30"/>
      <c r="L141" s="30"/>
      <c r="M141" s="30"/>
    </row>
    <row r="142" spans="1:13" s="68" customFormat="1" ht="17.25" customHeight="1" x14ac:dyDescent="0.35">
      <c r="A142" s="116"/>
      <c r="B142" s="117"/>
      <c r="C142" s="117"/>
      <c r="D142" s="117" t="s">
        <v>37</v>
      </c>
      <c r="E142" s="117">
        <v>32</v>
      </c>
      <c r="F142" s="117"/>
      <c r="G142" s="117"/>
      <c r="H142" s="118"/>
      <c r="I142" s="65" t="s">
        <v>74</v>
      </c>
      <c r="J142" s="30"/>
      <c r="K142" s="30"/>
      <c r="L142" s="30"/>
      <c r="M142" s="30"/>
    </row>
    <row r="143" spans="1:13" s="68" customFormat="1" ht="17.25" customHeight="1" x14ac:dyDescent="0.35">
      <c r="A143" s="116"/>
      <c r="B143" s="117"/>
      <c r="C143" s="117"/>
      <c r="D143" s="117" t="s">
        <v>37</v>
      </c>
      <c r="E143" s="117">
        <v>32</v>
      </c>
      <c r="F143" s="117">
        <v>106</v>
      </c>
      <c r="G143" s="117"/>
      <c r="H143" s="118"/>
      <c r="I143" s="65" t="s">
        <v>75</v>
      </c>
      <c r="J143" s="30"/>
      <c r="K143" s="30"/>
      <c r="L143" s="30"/>
      <c r="M143" s="30"/>
    </row>
    <row r="144" spans="1:13" s="68" customFormat="1" ht="17.25" customHeight="1" x14ac:dyDescent="0.35">
      <c r="A144" s="116"/>
      <c r="B144" s="117"/>
      <c r="C144" s="117"/>
      <c r="D144" s="117" t="s">
        <v>36</v>
      </c>
      <c r="E144" s="117">
        <v>1</v>
      </c>
      <c r="F144" s="117">
        <v>60</v>
      </c>
      <c r="G144" s="117"/>
      <c r="H144" s="118"/>
      <c r="I144" s="65" t="s">
        <v>76</v>
      </c>
      <c r="J144" s="30"/>
      <c r="K144" s="30"/>
      <c r="L144" s="30"/>
      <c r="M144" s="30"/>
    </row>
    <row r="145" spans="1:13" s="68" customFormat="1" ht="17.25" customHeight="1" x14ac:dyDescent="0.35">
      <c r="A145" s="116"/>
      <c r="B145" s="117"/>
      <c r="C145" s="117"/>
      <c r="D145" s="117" t="s">
        <v>37</v>
      </c>
      <c r="E145" s="117">
        <v>32</v>
      </c>
      <c r="F145" s="117" t="s">
        <v>158</v>
      </c>
      <c r="G145" s="117"/>
      <c r="H145" s="118"/>
      <c r="I145" s="65" t="s">
        <v>77</v>
      </c>
      <c r="J145" s="30"/>
      <c r="K145" s="30"/>
      <c r="L145" s="30"/>
      <c r="M145" s="30"/>
    </row>
    <row r="146" spans="1:13" s="68" customFormat="1" ht="17.25" customHeight="1" x14ac:dyDescent="0.35">
      <c r="A146" s="116"/>
      <c r="B146" s="117"/>
      <c r="C146" s="117"/>
      <c r="D146" s="117" t="s">
        <v>36</v>
      </c>
      <c r="E146" s="117">
        <v>1</v>
      </c>
      <c r="F146" s="117">
        <v>1</v>
      </c>
      <c r="G146" s="117"/>
      <c r="H146" s="118"/>
      <c r="I146" s="65" t="s">
        <v>78</v>
      </c>
      <c r="J146" s="30"/>
      <c r="K146" s="30"/>
      <c r="L146" s="30"/>
      <c r="M146" s="30"/>
    </row>
    <row r="147" spans="1:13" s="68" customFormat="1" ht="17.25" customHeight="1" x14ac:dyDescent="0.35">
      <c r="A147" s="116"/>
      <c r="B147" s="117"/>
      <c r="C147" s="117"/>
      <c r="D147" s="117" t="s">
        <v>36</v>
      </c>
      <c r="E147" s="117">
        <v>1</v>
      </c>
      <c r="F147" s="117">
        <v>15</v>
      </c>
      <c r="G147" s="117"/>
      <c r="H147" s="118"/>
      <c r="I147" s="65" t="s">
        <v>79</v>
      </c>
      <c r="J147" s="30"/>
      <c r="K147" s="30"/>
      <c r="L147" s="30"/>
      <c r="M147" s="30"/>
    </row>
    <row r="148" spans="1:13" s="68" customFormat="1" ht="17.25" customHeight="1" x14ac:dyDescent="0.35">
      <c r="A148" s="116"/>
      <c r="B148" s="117"/>
      <c r="C148" s="117"/>
      <c r="D148" s="117" t="s">
        <v>36</v>
      </c>
      <c r="E148" s="117">
        <v>1</v>
      </c>
      <c r="F148" s="117">
        <v>3</v>
      </c>
      <c r="G148" s="117"/>
      <c r="H148" s="118"/>
      <c r="I148" s="65" t="s">
        <v>80</v>
      </c>
      <c r="J148" s="30"/>
      <c r="K148" s="30"/>
      <c r="L148" s="30"/>
      <c r="M148" s="30"/>
    </row>
    <row r="149" spans="1:13" s="68" customFormat="1" ht="17.25" customHeight="1" x14ac:dyDescent="0.35">
      <c r="A149" s="116"/>
      <c r="B149" s="117"/>
      <c r="C149" s="117"/>
      <c r="D149" s="117" t="s">
        <v>36</v>
      </c>
      <c r="E149" s="117">
        <v>1</v>
      </c>
      <c r="F149" s="117">
        <v>30</v>
      </c>
      <c r="G149" s="117"/>
      <c r="H149" s="118"/>
      <c r="I149" s="65" t="s">
        <v>81</v>
      </c>
      <c r="J149" s="30"/>
      <c r="K149" s="30"/>
      <c r="L149" s="30"/>
      <c r="M149" s="30"/>
    </row>
    <row r="150" spans="1:13" s="68" customFormat="1" ht="17.25" customHeight="1" x14ac:dyDescent="0.35">
      <c r="A150" s="116"/>
      <c r="B150" s="117"/>
      <c r="C150" s="117"/>
      <c r="D150" s="117" t="s">
        <v>36</v>
      </c>
      <c r="E150" s="117">
        <v>1</v>
      </c>
      <c r="F150" s="117">
        <v>0</v>
      </c>
      <c r="G150" s="117"/>
      <c r="H150" s="118"/>
      <c r="I150" s="65" t="s">
        <v>82</v>
      </c>
      <c r="J150" s="30"/>
      <c r="K150" s="30"/>
      <c r="L150" s="30"/>
      <c r="M150" s="30"/>
    </row>
    <row r="151" spans="1:13" s="68" customFormat="1" ht="17.25" customHeight="1" x14ac:dyDescent="0.35">
      <c r="A151" s="116"/>
      <c r="B151" s="117"/>
      <c r="C151" s="117"/>
      <c r="D151" s="117" t="s">
        <v>36</v>
      </c>
      <c r="E151" s="117">
        <v>2</v>
      </c>
      <c r="F151" s="117">
        <v>5060</v>
      </c>
      <c r="G151" s="117"/>
      <c r="H151" s="118"/>
      <c r="I151" s="65" t="s">
        <v>83</v>
      </c>
      <c r="J151" s="30"/>
      <c r="K151" s="30"/>
      <c r="L151" s="30"/>
      <c r="M151" s="30"/>
    </row>
    <row r="152" spans="1:13" s="68" customFormat="1" ht="17.25" customHeight="1" x14ac:dyDescent="0.35">
      <c r="A152" s="116" t="s">
        <v>101</v>
      </c>
      <c r="B152" s="117" t="s">
        <v>102</v>
      </c>
      <c r="C152" s="117" t="s">
        <v>58</v>
      </c>
      <c r="D152" s="117"/>
      <c r="E152" s="117"/>
      <c r="F152" s="117" t="s">
        <v>6</v>
      </c>
      <c r="G152" s="136" t="s">
        <v>591</v>
      </c>
      <c r="H152" s="118"/>
      <c r="I152" s="65">
        <v>67259</v>
      </c>
      <c r="J152" s="30"/>
      <c r="K152" s="30"/>
      <c r="L152" s="30"/>
      <c r="M152" s="30"/>
    </row>
    <row r="153" spans="1:13" s="68" customFormat="1" ht="17.25" customHeight="1" x14ac:dyDescent="0.35">
      <c r="A153" s="116"/>
      <c r="B153" s="117"/>
      <c r="C153" s="117"/>
      <c r="D153" s="117" t="s">
        <v>37</v>
      </c>
      <c r="E153" s="117">
        <v>128</v>
      </c>
      <c r="F153" s="117">
        <v>8197</v>
      </c>
      <c r="G153" s="117"/>
      <c r="H153" s="118"/>
      <c r="I153" s="65" t="s">
        <v>103</v>
      </c>
      <c r="J153" s="30"/>
      <c r="K153" s="30"/>
      <c r="L153" s="30"/>
      <c r="M153" s="30"/>
    </row>
    <row r="154" spans="1:13" s="68" customFormat="1" ht="17.25" customHeight="1" x14ac:dyDescent="0.35">
      <c r="A154" s="116"/>
      <c r="B154" s="117"/>
      <c r="C154" s="117"/>
      <c r="D154" s="117" t="s">
        <v>36</v>
      </c>
      <c r="E154" s="117">
        <v>1</v>
      </c>
      <c r="F154" s="117">
        <v>1</v>
      </c>
      <c r="G154" s="117"/>
      <c r="H154" s="118"/>
      <c r="I154" s="65" t="s">
        <v>104</v>
      </c>
      <c r="J154" s="30"/>
      <c r="K154" s="30"/>
      <c r="L154" s="30"/>
      <c r="M154" s="30"/>
    </row>
    <row r="155" spans="1:13" s="68" customFormat="1" ht="17.25" customHeight="1" x14ac:dyDescent="0.35">
      <c r="A155" s="116"/>
      <c r="B155" s="117"/>
      <c r="C155" s="117"/>
      <c r="D155" s="117" t="s">
        <v>37</v>
      </c>
      <c r="E155" s="117">
        <v>128</v>
      </c>
      <c r="F155" s="117" t="s">
        <v>476</v>
      </c>
      <c r="G155" s="117"/>
      <c r="H155" s="118"/>
      <c r="I155" s="65" t="s">
        <v>105</v>
      </c>
      <c r="J155" s="30"/>
      <c r="K155" s="30"/>
      <c r="L155" s="30"/>
      <c r="M155" s="30"/>
    </row>
    <row r="156" spans="1:13" s="68" customFormat="1" ht="17.25" customHeight="1" x14ac:dyDescent="0.35">
      <c r="A156" s="116"/>
      <c r="B156" s="117"/>
      <c r="C156" s="117"/>
      <c r="D156" s="117" t="s">
        <v>37</v>
      </c>
      <c r="E156" s="117">
        <v>64</v>
      </c>
      <c r="F156" s="117" t="s">
        <v>623</v>
      </c>
      <c r="G156" s="117"/>
      <c r="H156" s="118"/>
      <c r="I156" s="65" t="s">
        <v>106</v>
      </c>
      <c r="J156" s="30"/>
      <c r="K156" s="30"/>
      <c r="L156" s="30"/>
      <c r="M156" s="30"/>
    </row>
    <row r="157" spans="1:13" s="68" customFormat="1" ht="17.25" customHeight="1" x14ac:dyDescent="0.35">
      <c r="A157" s="116"/>
      <c r="B157" s="117"/>
      <c r="C157" s="117"/>
      <c r="D157" s="117" t="s">
        <v>36</v>
      </c>
      <c r="E157" s="117">
        <v>4</v>
      </c>
      <c r="F157" s="117">
        <v>1024</v>
      </c>
      <c r="G157" s="117"/>
      <c r="H157" s="118"/>
      <c r="I157" s="65" t="s">
        <v>107</v>
      </c>
      <c r="J157" s="30"/>
      <c r="K157" s="30"/>
      <c r="L157" s="30"/>
      <c r="M157" s="30"/>
    </row>
    <row r="158" spans="1:13" s="68" customFormat="1" ht="17.25" customHeight="1" x14ac:dyDescent="0.35">
      <c r="A158" s="116"/>
      <c r="B158" s="117"/>
      <c r="C158" s="117"/>
      <c r="D158" s="117" t="s">
        <v>37</v>
      </c>
      <c r="E158" s="117">
        <v>256</v>
      </c>
      <c r="F158" s="117"/>
      <c r="G158" s="117"/>
      <c r="H158" s="118"/>
      <c r="I158" s="65" t="s">
        <v>108</v>
      </c>
      <c r="J158" s="30"/>
      <c r="K158" s="30"/>
      <c r="L158" s="30"/>
      <c r="M158" s="30"/>
    </row>
    <row r="159" spans="1:13" s="68" customFormat="1" ht="17.25" customHeight="1" x14ac:dyDescent="0.35">
      <c r="A159" s="116"/>
      <c r="B159" s="117"/>
      <c r="C159" s="117"/>
      <c r="D159" s="117" t="s">
        <v>36</v>
      </c>
      <c r="E159" s="117">
        <v>1</v>
      </c>
      <c r="F159" s="117">
        <v>1</v>
      </c>
      <c r="G159" s="117"/>
      <c r="H159" s="118"/>
      <c r="I159" s="65" t="s">
        <v>109</v>
      </c>
      <c r="J159" s="30"/>
      <c r="K159" s="30"/>
      <c r="L159" s="30"/>
      <c r="M159" s="30"/>
    </row>
    <row r="160" spans="1:13" s="68" customFormat="1" ht="17.25" customHeight="1" x14ac:dyDescent="0.35">
      <c r="A160" s="116" t="s">
        <v>143</v>
      </c>
      <c r="B160" s="117" t="s">
        <v>144</v>
      </c>
      <c r="C160" s="117" t="s">
        <v>58</v>
      </c>
      <c r="D160" s="117"/>
      <c r="E160" s="117"/>
      <c r="F160" s="117"/>
      <c r="G160" s="136" t="s">
        <v>591</v>
      </c>
      <c r="H160" s="118"/>
      <c r="I160" s="65">
        <v>69744</v>
      </c>
      <c r="J160" s="30"/>
      <c r="K160" s="30"/>
      <c r="L160" s="30"/>
      <c r="M160" s="30"/>
    </row>
    <row r="161" spans="1:13" s="68" customFormat="1" ht="17.25" customHeight="1" x14ac:dyDescent="0.35">
      <c r="A161" s="116"/>
      <c r="B161" s="117"/>
      <c r="C161" s="117"/>
      <c r="D161" s="117" t="s">
        <v>36</v>
      </c>
      <c r="E161" s="117">
        <v>1</v>
      </c>
      <c r="F161" s="117">
        <v>14</v>
      </c>
      <c r="G161" s="117"/>
      <c r="H161" s="118"/>
      <c r="I161" s="65" t="s">
        <v>173</v>
      </c>
      <c r="J161" s="30"/>
      <c r="K161" s="30"/>
      <c r="L161" s="30"/>
      <c r="M161" s="30"/>
    </row>
    <row r="162" spans="1:13" s="68" customFormat="1" ht="17.25" customHeight="1" x14ac:dyDescent="0.35">
      <c r="A162" s="116"/>
      <c r="B162" s="117"/>
      <c r="C162" s="117"/>
      <c r="D162" s="117" t="s">
        <v>36</v>
      </c>
      <c r="E162" s="117">
        <v>2</v>
      </c>
      <c r="F162" s="117">
        <v>5060</v>
      </c>
      <c r="G162" s="117"/>
      <c r="H162" s="118"/>
      <c r="I162" s="65" t="s">
        <v>84</v>
      </c>
      <c r="J162" s="30"/>
      <c r="K162" s="30"/>
      <c r="L162" s="30"/>
      <c r="M162" s="30"/>
    </row>
    <row r="163" spans="1:13" s="68" customFormat="1" ht="17.25" customHeight="1" x14ac:dyDescent="0.35">
      <c r="A163" s="116"/>
      <c r="B163" s="117"/>
      <c r="C163" s="117"/>
      <c r="D163" s="117" t="s">
        <v>36</v>
      </c>
      <c r="E163" s="117">
        <v>4</v>
      </c>
      <c r="F163" s="117">
        <v>7200</v>
      </c>
      <c r="G163" s="117"/>
      <c r="H163" s="118"/>
      <c r="I163" s="65" t="s">
        <v>85</v>
      </c>
      <c r="J163" s="30"/>
      <c r="K163" s="30"/>
      <c r="L163" s="30"/>
      <c r="M163" s="30"/>
    </row>
    <row r="164" spans="1:13" s="68" customFormat="1" ht="17.25" customHeight="1" x14ac:dyDescent="0.35">
      <c r="A164" s="116"/>
      <c r="B164" s="117"/>
      <c r="C164" s="117"/>
      <c r="D164" s="117" t="s">
        <v>36</v>
      </c>
      <c r="E164" s="117">
        <v>4</v>
      </c>
      <c r="F164" s="117">
        <v>600000</v>
      </c>
      <c r="G164" s="117"/>
      <c r="H164" s="118"/>
      <c r="I164" s="65" t="s">
        <v>86</v>
      </c>
      <c r="J164" s="30"/>
      <c r="K164" s="30"/>
      <c r="L164" s="30"/>
      <c r="M164" s="30"/>
    </row>
    <row r="165" spans="1:13" s="68" customFormat="1" ht="17.25" customHeight="1" x14ac:dyDescent="0.35">
      <c r="A165" s="116"/>
      <c r="B165" s="117"/>
      <c r="C165" s="117"/>
      <c r="D165" s="117" t="s">
        <v>36</v>
      </c>
      <c r="E165" s="117">
        <v>4</v>
      </c>
      <c r="F165" s="117">
        <v>3000</v>
      </c>
      <c r="G165" s="117"/>
      <c r="H165" s="118"/>
      <c r="I165" s="65" t="s">
        <v>87</v>
      </c>
      <c r="J165" s="30"/>
      <c r="K165" s="30"/>
      <c r="L165" s="30"/>
      <c r="M165" s="30"/>
    </row>
    <row r="166" spans="1:13" s="68" customFormat="1" ht="17.25" customHeight="1" x14ac:dyDescent="0.35">
      <c r="A166" s="116"/>
      <c r="B166" s="117"/>
      <c r="C166" s="117"/>
      <c r="D166" s="117" t="s">
        <v>36</v>
      </c>
      <c r="E166" s="117">
        <v>4</v>
      </c>
      <c r="F166" s="117">
        <v>16000</v>
      </c>
      <c r="G166" s="117"/>
      <c r="H166" s="118"/>
      <c r="I166" s="65" t="s">
        <v>88</v>
      </c>
      <c r="J166" s="30"/>
      <c r="K166" s="30"/>
      <c r="L166" s="30"/>
      <c r="M166" s="30"/>
    </row>
    <row r="167" spans="1:13" s="68" customFormat="1" ht="17.25" customHeight="1" x14ac:dyDescent="0.35">
      <c r="A167" s="116"/>
      <c r="B167" s="117"/>
      <c r="C167" s="117"/>
      <c r="D167" s="117" t="s">
        <v>36</v>
      </c>
      <c r="E167" s="117">
        <v>4</v>
      </c>
      <c r="F167" s="117">
        <v>17000</v>
      </c>
      <c r="G167" s="117"/>
      <c r="H167" s="118"/>
      <c r="I167" s="65" t="s">
        <v>89</v>
      </c>
      <c r="J167" s="30"/>
      <c r="K167" s="30"/>
      <c r="L167" s="30"/>
      <c r="M167" s="30"/>
    </row>
    <row r="168" spans="1:13" s="68" customFormat="1" ht="17.25" customHeight="1" x14ac:dyDescent="0.35">
      <c r="A168" s="116"/>
      <c r="B168" s="117"/>
      <c r="C168" s="117"/>
      <c r="D168" s="117" t="s">
        <v>36</v>
      </c>
      <c r="E168" s="117">
        <v>4</v>
      </c>
      <c r="F168" s="117">
        <v>30000</v>
      </c>
      <c r="G168" s="117"/>
      <c r="H168" s="118"/>
      <c r="I168" s="65" t="s">
        <v>90</v>
      </c>
      <c r="J168" s="30"/>
      <c r="K168" s="30"/>
      <c r="L168" s="30"/>
      <c r="M168" s="30"/>
    </row>
    <row r="169" spans="1:13" s="68" customFormat="1" ht="17.25" customHeight="1" x14ac:dyDescent="0.35">
      <c r="A169" s="116"/>
      <c r="B169" s="117"/>
      <c r="C169" s="117"/>
      <c r="D169" s="117" t="s">
        <v>36</v>
      </c>
      <c r="E169" s="117">
        <v>4</v>
      </c>
      <c r="F169" s="117">
        <v>0</v>
      </c>
      <c r="G169" s="117"/>
      <c r="H169" s="118"/>
      <c r="I169" s="65" t="s">
        <v>174</v>
      </c>
      <c r="J169" s="30"/>
      <c r="K169" s="30"/>
      <c r="L169" s="30"/>
      <c r="M169" s="30"/>
    </row>
    <row r="170" spans="1:13" s="68" customFormat="1" ht="17.25" customHeight="1" x14ac:dyDescent="0.35">
      <c r="A170" s="116"/>
      <c r="B170" s="117"/>
      <c r="C170" s="117"/>
      <c r="D170" s="117" t="s">
        <v>36</v>
      </c>
      <c r="E170" s="117">
        <v>2</v>
      </c>
      <c r="F170" s="117">
        <v>1500</v>
      </c>
      <c r="G170" s="117"/>
      <c r="H170" s="118"/>
      <c r="I170" s="65" t="s">
        <v>91</v>
      </c>
      <c r="J170" s="30"/>
      <c r="K170" s="30"/>
      <c r="L170" s="30"/>
      <c r="M170" s="30"/>
    </row>
    <row r="171" spans="1:13" s="68" customFormat="1" ht="17.25" customHeight="1" x14ac:dyDescent="0.35">
      <c r="A171" s="116"/>
      <c r="B171" s="117"/>
      <c r="C171" s="117"/>
      <c r="D171" s="117" t="s">
        <v>36</v>
      </c>
      <c r="E171" s="117">
        <v>1</v>
      </c>
      <c r="F171" s="117">
        <v>0</v>
      </c>
      <c r="G171" s="117"/>
      <c r="H171" s="118"/>
      <c r="I171" s="65" t="s">
        <v>92</v>
      </c>
      <c r="J171" s="30"/>
      <c r="K171" s="30"/>
      <c r="L171" s="30"/>
      <c r="M171" s="30"/>
    </row>
    <row r="172" spans="1:13" s="68" customFormat="1" ht="17.25" customHeight="1" x14ac:dyDescent="0.35">
      <c r="A172" s="116"/>
      <c r="B172" s="117"/>
      <c r="C172" s="117"/>
      <c r="D172" s="117" t="s">
        <v>36</v>
      </c>
      <c r="E172" s="117">
        <v>1</v>
      </c>
      <c r="F172" s="117">
        <v>0</v>
      </c>
      <c r="G172" s="117"/>
      <c r="H172" s="118"/>
      <c r="I172" s="65" t="s">
        <v>93</v>
      </c>
      <c r="J172" s="30"/>
      <c r="K172" s="30"/>
      <c r="L172" s="30"/>
      <c r="M172" s="30"/>
    </row>
    <row r="173" spans="1:13" s="68" customFormat="1" ht="17.25" customHeight="1" x14ac:dyDescent="0.35">
      <c r="A173" s="116"/>
      <c r="B173" s="117"/>
      <c r="C173" s="117"/>
      <c r="D173" s="117" t="s">
        <v>36</v>
      </c>
      <c r="E173" s="117">
        <v>1</v>
      </c>
      <c r="F173" s="117">
        <v>0</v>
      </c>
      <c r="G173" s="117"/>
      <c r="H173" s="118"/>
      <c r="I173" s="65" t="s">
        <v>94</v>
      </c>
      <c r="J173" s="30"/>
      <c r="K173" s="30"/>
      <c r="L173" s="30"/>
      <c r="M173" s="30"/>
    </row>
    <row r="174" spans="1:13" s="68" customFormat="1" ht="17.25" customHeight="1" x14ac:dyDescent="0.35">
      <c r="A174" s="116"/>
      <c r="B174" s="117"/>
      <c r="C174" s="117"/>
      <c r="D174" s="117" t="s">
        <v>36</v>
      </c>
      <c r="E174" s="117">
        <v>1</v>
      </c>
      <c r="F174" s="117">
        <v>3</v>
      </c>
      <c r="G174" s="117"/>
      <c r="H174" s="118"/>
      <c r="I174" s="65" t="s">
        <v>95</v>
      </c>
      <c r="J174" s="30"/>
      <c r="K174" s="30"/>
      <c r="L174" s="30"/>
      <c r="M174" s="30"/>
    </row>
    <row r="175" spans="1:13" s="68" customFormat="1" ht="17.25" customHeight="1" x14ac:dyDescent="0.35">
      <c r="A175" s="116"/>
      <c r="B175" s="117"/>
      <c r="C175" s="117"/>
      <c r="D175" s="117" t="s">
        <v>36</v>
      </c>
      <c r="E175" s="117">
        <v>1</v>
      </c>
      <c r="F175" s="117">
        <v>7</v>
      </c>
      <c r="G175" s="117"/>
      <c r="H175" s="118"/>
      <c r="I175" s="65" t="s">
        <v>96</v>
      </c>
      <c r="J175" s="30"/>
      <c r="K175" s="30"/>
      <c r="L175" s="30"/>
      <c r="M175" s="30"/>
    </row>
    <row r="176" spans="1:13" s="68" customFormat="1" ht="17.25" customHeight="1" x14ac:dyDescent="0.35">
      <c r="A176" s="116"/>
      <c r="B176" s="117"/>
      <c r="C176" s="117"/>
      <c r="D176" s="117" t="s">
        <v>36</v>
      </c>
      <c r="E176" s="117">
        <v>1</v>
      </c>
      <c r="F176" s="117">
        <v>3</v>
      </c>
      <c r="G176" s="117"/>
      <c r="H176" s="118"/>
      <c r="I176" s="65" t="s">
        <v>97</v>
      </c>
      <c r="J176" s="30"/>
      <c r="K176" s="30"/>
      <c r="L176" s="30"/>
      <c r="M176" s="30"/>
    </row>
    <row r="177" spans="1:13" s="68" customFormat="1" ht="17.25" customHeight="1" x14ac:dyDescent="0.35">
      <c r="A177" s="116"/>
      <c r="B177" s="117"/>
      <c r="C177" s="117"/>
      <c r="D177" s="117" t="s">
        <v>36</v>
      </c>
      <c r="E177" s="117">
        <v>1</v>
      </c>
      <c r="F177" s="117">
        <v>0</v>
      </c>
      <c r="G177" s="117"/>
      <c r="H177" s="118"/>
      <c r="I177" s="65" t="s">
        <v>98</v>
      </c>
      <c r="J177" s="30"/>
      <c r="K177" s="30"/>
      <c r="L177" s="30"/>
      <c r="M177" s="30"/>
    </row>
    <row r="178" spans="1:13" s="68" customFormat="1" ht="17.25" customHeight="1" x14ac:dyDescent="0.35">
      <c r="A178" s="116"/>
      <c r="B178" s="117"/>
      <c r="C178" s="117"/>
      <c r="D178" s="117" t="s">
        <v>37</v>
      </c>
      <c r="E178" s="117">
        <v>256</v>
      </c>
      <c r="F178" s="117"/>
      <c r="G178" s="117"/>
      <c r="H178" s="118"/>
      <c r="I178" s="65" t="s">
        <v>99</v>
      </c>
      <c r="J178" s="30"/>
      <c r="K178" s="30"/>
      <c r="L178" s="30"/>
      <c r="M178" s="30"/>
    </row>
    <row r="179" spans="1:13" s="68" customFormat="1" ht="17.25" customHeight="1" x14ac:dyDescent="0.35">
      <c r="A179" s="116"/>
      <c r="B179" s="117"/>
      <c r="C179" s="117"/>
      <c r="D179" s="117" t="s">
        <v>37</v>
      </c>
      <c r="E179" s="117">
        <v>256</v>
      </c>
      <c r="F179" s="117"/>
      <c r="G179" s="117"/>
      <c r="H179" s="118"/>
      <c r="I179" s="65" t="s">
        <v>100</v>
      </c>
      <c r="J179" s="30"/>
      <c r="K179" s="30"/>
      <c r="L179" s="30"/>
      <c r="M179" s="30"/>
    </row>
    <row r="180" spans="1:13" s="68" customFormat="1" ht="17.25" customHeight="1" x14ac:dyDescent="0.35">
      <c r="A180" s="116"/>
      <c r="B180" s="117"/>
      <c r="C180" s="117"/>
      <c r="D180" s="117" t="s">
        <v>36</v>
      </c>
      <c r="E180" s="117">
        <v>1</v>
      </c>
      <c r="F180" s="117">
        <v>0</v>
      </c>
      <c r="G180" s="117"/>
      <c r="H180" s="118"/>
      <c r="I180" s="65" t="s">
        <v>175</v>
      </c>
      <c r="J180" s="30"/>
      <c r="K180" s="30"/>
      <c r="L180" s="30"/>
      <c r="M180" s="30"/>
    </row>
    <row r="181" spans="1:13" s="68" customFormat="1" ht="17.25" customHeight="1" x14ac:dyDescent="0.35">
      <c r="A181" s="116"/>
      <c r="B181" s="117"/>
      <c r="C181" s="117"/>
      <c r="D181" s="117" t="s">
        <v>36</v>
      </c>
      <c r="E181" s="117">
        <v>4</v>
      </c>
      <c r="F181" s="117">
        <v>0</v>
      </c>
      <c r="G181" s="117"/>
      <c r="H181" s="118"/>
      <c r="I181" s="65" t="s">
        <v>176</v>
      </c>
      <c r="J181" s="30"/>
      <c r="K181" s="30"/>
      <c r="L181" s="30"/>
      <c r="M181" s="30"/>
    </row>
    <row r="182" spans="1:13" s="68" customFormat="1" ht="17.25" customHeight="1" x14ac:dyDescent="0.35">
      <c r="A182" s="116"/>
      <c r="B182" s="117"/>
      <c r="C182" s="117"/>
      <c r="D182" s="117" t="s">
        <v>36</v>
      </c>
      <c r="E182" s="117">
        <v>4</v>
      </c>
      <c r="F182" s="117">
        <v>0</v>
      </c>
      <c r="G182" s="117"/>
      <c r="H182" s="118"/>
      <c r="I182" s="65" t="s">
        <v>624</v>
      </c>
      <c r="J182" s="30"/>
      <c r="K182" s="30"/>
      <c r="L182" s="30"/>
      <c r="M182" s="30"/>
    </row>
    <row r="183" spans="1:13" s="68" customFormat="1" ht="17.25" customHeight="1" x14ac:dyDescent="0.35">
      <c r="A183" s="116"/>
      <c r="B183" s="117"/>
      <c r="C183" s="117"/>
      <c r="D183" s="117" t="s">
        <v>36</v>
      </c>
      <c r="E183" s="117">
        <v>4</v>
      </c>
      <c r="F183" s="117"/>
      <c r="G183" s="117"/>
      <c r="H183" s="118"/>
      <c r="I183" s="65" t="s">
        <v>313</v>
      </c>
      <c r="J183" s="30"/>
      <c r="K183" s="30"/>
      <c r="L183" s="30"/>
      <c r="M183" s="30"/>
    </row>
    <row r="184" spans="1:13" s="68" customFormat="1" ht="17.25" customHeight="1" x14ac:dyDescent="0.35">
      <c r="A184" s="116"/>
      <c r="B184" s="117"/>
      <c r="C184" s="117"/>
      <c r="D184" s="117" t="s">
        <v>36</v>
      </c>
      <c r="E184" s="117">
        <v>4</v>
      </c>
      <c r="F184" s="117"/>
      <c r="G184" s="117"/>
      <c r="H184" s="118"/>
      <c r="I184" s="65" t="s">
        <v>314</v>
      </c>
      <c r="J184" s="30"/>
      <c r="K184" s="30"/>
      <c r="L184" s="30"/>
      <c r="M184" s="30"/>
    </row>
    <row r="185" spans="1:13" s="68" customFormat="1" ht="17.25" customHeight="1" x14ac:dyDescent="0.35">
      <c r="A185" s="116"/>
      <c r="B185" s="117"/>
      <c r="C185" s="117"/>
      <c r="D185" s="117" t="s">
        <v>36</v>
      </c>
      <c r="E185" s="117">
        <v>4</v>
      </c>
      <c r="F185" s="117"/>
      <c r="G185" s="117"/>
      <c r="H185" s="118"/>
      <c r="I185" s="65" t="s">
        <v>315</v>
      </c>
      <c r="J185" s="30"/>
      <c r="K185" s="30"/>
      <c r="L185" s="30"/>
      <c r="M185" s="30"/>
    </row>
    <row r="186" spans="1:13" s="68" customFormat="1" ht="17.25" customHeight="1" x14ac:dyDescent="0.35">
      <c r="A186" s="116"/>
      <c r="B186" s="117"/>
      <c r="C186" s="117"/>
      <c r="D186" s="117" t="s">
        <v>36</v>
      </c>
      <c r="E186" s="117">
        <v>4</v>
      </c>
      <c r="F186" s="117"/>
      <c r="G186" s="117"/>
      <c r="H186" s="118"/>
      <c r="I186" s="65" t="s">
        <v>316</v>
      </c>
      <c r="J186" s="30"/>
      <c r="K186" s="30"/>
      <c r="L186" s="30"/>
      <c r="M186" s="30"/>
    </row>
    <row r="187" spans="1:13" s="68" customFormat="1" ht="17.25" customHeight="1" x14ac:dyDescent="0.35">
      <c r="A187" s="116"/>
      <c r="B187" s="117"/>
      <c r="C187" s="117"/>
      <c r="D187" s="117" t="s">
        <v>36</v>
      </c>
      <c r="E187" s="117">
        <v>4</v>
      </c>
      <c r="F187" s="117"/>
      <c r="G187" s="117"/>
      <c r="H187" s="118"/>
      <c r="I187" s="65" t="s">
        <v>317</v>
      </c>
      <c r="J187" s="30"/>
      <c r="K187" s="30"/>
      <c r="L187" s="30"/>
      <c r="M187" s="30"/>
    </row>
    <row r="188" spans="1:13" s="68" customFormat="1" ht="17.25" customHeight="1" x14ac:dyDescent="0.35">
      <c r="A188" s="116"/>
      <c r="B188" s="117"/>
      <c r="C188" s="117"/>
      <c r="D188" s="117" t="s">
        <v>36</v>
      </c>
      <c r="E188" s="117">
        <v>4</v>
      </c>
      <c r="F188" s="117"/>
      <c r="G188" s="117"/>
      <c r="H188" s="118"/>
      <c r="I188" s="65" t="s">
        <v>318</v>
      </c>
      <c r="J188" s="30"/>
      <c r="K188" s="30"/>
      <c r="L188" s="30"/>
      <c r="M188" s="30"/>
    </row>
    <row r="189" spans="1:13" s="68" customFormat="1" ht="17.25" customHeight="1" x14ac:dyDescent="0.35">
      <c r="A189" s="116"/>
      <c r="B189" s="117"/>
      <c r="C189" s="117"/>
      <c r="D189" s="117" t="s">
        <v>36</v>
      </c>
      <c r="E189" s="117">
        <v>1</v>
      </c>
      <c r="F189" s="117"/>
      <c r="G189" s="117"/>
      <c r="H189" s="118"/>
      <c r="I189" s="65" t="s">
        <v>312</v>
      </c>
      <c r="J189" s="30"/>
      <c r="K189" s="30"/>
      <c r="L189" s="30"/>
      <c r="M189" s="30"/>
    </row>
    <row r="190" spans="1:13" s="68" customFormat="1" ht="17.25" customHeight="1" x14ac:dyDescent="0.35">
      <c r="A190" s="116"/>
      <c r="B190" s="117"/>
      <c r="C190" s="117"/>
      <c r="D190" s="117" t="s">
        <v>36</v>
      </c>
      <c r="E190" s="117">
        <v>2</v>
      </c>
      <c r="F190" s="117"/>
      <c r="G190" s="117"/>
      <c r="H190" s="118"/>
      <c r="I190" s="65" t="s">
        <v>319</v>
      </c>
      <c r="J190" s="30"/>
      <c r="K190" s="30"/>
      <c r="L190" s="30"/>
      <c r="M190" s="30"/>
    </row>
    <row r="191" spans="1:13" s="68" customFormat="1" ht="17.25" customHeight="1" x14ac:dyDescent="0.35">
      <c r="A191" s="116"/>
      <c r="B191" s="117"/>
      <c r="C191" s="117"/>
      <c r="D191" s="117" t="s">
        <v>36</v>
      </c>
      <c r="E191" s="117">
        <v>4</v>
      </c>
      <c r="F191" s="117"/>
      <c r="G191" s="117"/>
      <c r="H191" s="118"/>
      <c r="I191" s="65" t="s">
        <v>320</v>
      </c>
      <c r="J191" s="30"/>
      <c r="K191" s="30"/>
      <c r="L191" s="30"/>
      <c r="M191" s="30"/>
    </row>
    <row r="192" spans="1:13" s="68" customFormat="1" ht="17.25" customHeight="1" x14ac:dyDescent="0.35">
      <c r="A192" s="116"/>
      <c r="B192" s="117"/>
      <c r="C192" s="117"/>
      <c r="D192" s="117" t="s">
        <v>36</v>
      </c>
      <c r="E192" s="117">
        <v>1</v>
      </c>
      <c r="F192" s="117"/>
      <c r="G192" s="117"/>
      <c r="H192" s="118"/>
      <c r="I192" s="65" t="s">
        <v>385</v>
      </c>
      <c r="J192" s="30"/>
      <c r="K192" s="30"/>
      <c r="L192" s="30"/>
      <c r="M192" s="30"/>
    </row>
    <row r="193" spans="1:13" s="68" customFormat="1" ht="17.25" customHeight="1" x14ac:dyDescent="0.35">
      <c r="A193" s="116"/>
      <c r="B193" s="117"/>
      <c r="C193" s="117"/>
      <c r="D193" s="117" t="s">
        <v>36</v>
      </c>
      <c r="E193" s="117">
        <v>1</v>
      </c>
      <c r="F193" s="117"/>
      <c r="G193" s="117"/>
      <c r="H193" s="118"/>
      <c r="I193" s="65" t="s">
        <v>386</v>
      </c>
      <c r="J193" s="30"/>
      <c r="K193" s="30"/>
      <c r="L193" s="30"/>
      <c r="M193" s="30"/>
    </row>
    <row r="194" spans="1:13" s="68" customFormat="1" ht="17.25" customHeight="1" x14ac:dyDescent="0.35">
      <c r="A194" s="116"/>
      <c r="B194" s="117"/>
      <c r="C194" s="117"/>
      <c r="D194" s="117" t="s">
        <v>36</v>
      </c>
      <c r="E194" s="117">
        <v>4</v>
      </c>
      <c r="F194" s="117"/>
      <c r="G194" s="117"/>
      <c r="H194" s="118"/>
      <c r="I194" s="65" t="s">
        <v>387</v>
      </c>
      <c r="J194" s="30"/>
      <c r="K194" s="30"/>
      <c r="L194" s="30"/>
      <c r="M194" s="30"/>
    </row>
    <row r="195" spans="1:13" s="68" customFormat="1" ht="17.25" customHeight="1" x14ac:dyDescent="0.35">
      <c r="A195" s="116"/>
      <c r="B195" s="117"/>
      <c r="C195" s="117"/>
      <c r="D195" s="117" t="s">
        <v>36</v>
      </c>
      <c r="E195" s="117">
        <v>1</v>
      </c>
      <c r="F195" s="117"/>
      <c r="G195" s="117"/>
      <c r="H195" s="118"/>
      <c r="I195" s="65" t="s">
        <v>388</v>
      </c>
      <c r="J195" s="30"/>
      <c r="K195" s="30"/>
      <c r="L195" s="30"/>
      <c r="M195" s="30"/>
    </row>
    <row r="196" spans="1:13" s="68" customFormat="1" ht="17.25" customHeight="1" x14ac:dyDescent="0.35">
      <c r="A196" s="116"/>
      <c r="B196" s="117"/>
      <c r="C196" s="117"/>
      <c r="D196" s="117" t="s">
        <v>36</v>
      </c>
      <c r="E196" s="117">
        <v>1</v>
      </c>
      <c r="F196" s="117"/>
      <c r="G196" s="117"/>
      <c r="H196" s="118"/>
      <c r="I196" s="65" t="s">
        <v>485</v>
      </c>
      <c r="J196" s="30"/>
      <c r="K196" s="30"/>
      <c r="L196" s="30"/>
      <c r="M196" s="30"/>
    </row>
    <row r="197" spans="1:13" s="68" customFormat="1" ht="17.25" customHeight="1" x14ac:dyDescent="0.35">
      <c r="A197" s="116"/>
      <c r="B197" s="117"/>
      <c r="C197" s="117"/>
      <c r="D197" s="117" t="s">
        <v>36</v>
      </c>
      <c r="E197" s="117">
        <v>4</v>
      </c>
      <c r="F197" s="117"/>
      <c r="G197" s="117"/>
      <c r="H197" s="118"/>
      <c r="I197" s="65" t="s">
        <v>928</v>
      </c>
      <c r="J197" s="30"/>
      <c r="K197" s="30"/>
      <c r="L197" s="30"/>
      <c r="M197" s="30"/>
    </row>
    <row r="198" spans="1:13" s="68" customFormat="1" ht="17.25" customHeight="1" x14ac:dyDescent="0.35">
      <c r="A198" s="116"/>
      <c r="B198" s="117"/>
      <c r="C198" s="117"/>
      <c r="D198" s="117" t="s">
        <v>36</v>
      </c>
      <c r="E198" s="117">
        <v>4</v>
      </c>
      <c r="F198" s="117"/>
      <c r="G198" s="117"/>
      <c r="H198" s="118"/>
      <c r="I198" s="65" t="s">
        <v>929</v>
      </c>
      <c r="J198" s="30"/>
      <c r="K198" s="30"/>
      <c r="L198" s="30"/>
      <c r="M198" s="30"/>
    </row>
    <row r="199" spans="1:13" s="68" customFormat="1" ht="17.25" customHeight="1" x14ac:dyDescent="0.35">
      <c r="A199" s="116"/>
      <c r="B199" s="117"/>
      <c r="C199" s="117"/>
      <c r="D199" s="117" t="s">
        <v>37</v>
      </c>
      <c r="E199" s="117">
        <v>50</v>
      </c>
      <c r="F199" s="117"/>
      <c r="G199" s="117"/>
      <c r="H199" s="118"/>
      <c r="I199" s="65" t="s">
        <v>930</v>
      </c>
      <c r="J199" s="30"/>
      <c r="K199" s="30"/>
      <c r="L199" s="30"/>
      <c r="M199" s="30"/>
    </row>
    <row r="200" spans="1:13" s="68" customFormat="1" ht="17.25" customHeight="1" x14ac:dyDescent="0.35">
      <c r="A200" s="116"/>
      <c r="B200" s="117"/>
      <c r="C200" s="117"/>
      <c r="D200" s="117" t="s">
        <v>36</v>
      </c>
      <c r="E200" s="117">
        <v>4</v>
      </c>
      <c r="F200" s="117">
        <v>3000</v>
      </c>
      <c r="G200" s="117"/>
      <c r="H200" s="118"/>
      <c r="I200" s="65" t="s">
        <v>931</v>
      </c>
      <c r="J200" s="30"/>
      <c r="K200" s="30"/>
      <c r="L200" s="30"/>
      <c r="M200" s="30"/>
    </row>
    <row r="201" spans="1:13" s="68" customFormat="1" ht="17.25" customHeight="1" x14ac:dyDescent="0.35">
      <c r="A201" s="116"/>
      <c r="B201" s="117"/>
      <c r="C201" s="117"/>
      <c r="D201" s="117" t="s">
        <v>37</v>
      </c>
      <c r="E201" s="117">
        <v>362</v>
      </c>
      <c r="F201" s="117"/>
      <c r="G201" s="117"/>
      <c r="H201" s="118"/>
      <c r="I201" s="65" t="s">
        <v>222</v>
      </c>
      <c r="J201" s="30"/>
      <c r="K201" s="30"/>
      <c r="L201" s="30"/>
      <c r="M201" s="30"/>
    </row>
    <row r="202" spans="1:13" s="68" customFormat="1" ht="17.25" customHeight="1" x14ac:dyDescent="0.35">
      <c r="A202" s="116" t="s">
        <v>146</v>
      </c>
      <c r="B202" s="117" t="s">
        <v>145</v>
      </c>
      <c r="C202" s="117" t="s">
        <v>58</v>
      </c>
      <c r="D202" s="117"/>
      <c r="E202" s="117"/>
      <c r="F202" s="117"/>
      <c r="G202" s="136" t="s">
        <v>591</v>
      </c>
      <c r="H202" s="118"/>
      <c r="I202" s="65">
        <v>69673</v>
      </c>
      <c r="J202" s="30"/>
      <c r="K202" s="30"/>
      <c r="L202" s="30"/>
      <c r="M202" s="30"/>
    </row>
    <row r="203" spans="1:13" s="68" customFormat="1" ht="17.25" customHeight="1" x14ac:dyDescent="0.35">
      <c r="A203" s="116"/>
      <c r="B203" s="117"/>
      <c r="C203" s="117"/>
      <c r="D203" s="117" t="s">
        <v>36</v>
      </c>
      <c r="E203" s="117">
        <v>1</v>
      </c>
      <c r="F203" s="117">
        <v>2</v>
      </c>
      <c r="G203" s="117"/>
      <c r="H203" s="118"/>
      <c r="I203" s="65" t="s">
        <v>625</v>
      </c>
      <c r="J203" s="30"/>
      <c r="K203" s="30"/>
      <c r="L203" s="30"/>
      <c r="M203" s="30"/>
    </row>
    <row r="204" spans="1:13" s="68" customFormat="1" ht="17.25" customHeight="1" x14ac:dyDescent="0.35">
      <c r="A204" s="116" t="s">
        <v>209</v>
      </c>
      <c r="B204" s="117" t="s">
        <v>210</v>
      </c>
      <c r="C204" s="117" t="s">
        <v>58</v>
      </c>
      <c r="D204" s="117"/>
      <c r="E204" s="117"/>
      <c r="F204" s="117"/>
      <c r="G204" s="136" t="s">
        <v>591</v>
      </c>
      <c r="H204" s="118"/>
      <c r="I204" s="65">
        <v>67348</v>
      </c>
      <c r="J204" s="30"/>
      <c r="K204" s="30"/>
      <c r="L204" s="30"/>
      <c r="M204" s="30"/>
    </row>
    <row r="205" spans="1:13" s="68" customFormat="1" ht="17.25" customHeight="1" x14ac:dyDescent="0.35">
      <c r="A205" s="116"/>
      <c r="B205" s="117"/>
      <c r="C205" s="117"/>
      <c r="D205" s="117" t="s">
        <v>36</v>
      </c>
      <c r="E205" s="117">
        <v>1</v>
      </c>
      <c r="F205" s="117">
        <v>25</v>
      </c>
      <c r="G205" s="117"/>
      <c r="H205" s="118"/>
      <c r="I205" s="65" t="s">
        <v>211</v>
      </c>
      <c r="J205" s="30"/>
      <c r="K205" s="30"/>
      <c r="L205" s="30"/>
      <c r="M205" s="30"/>
    </row>
    <row r="206" spans="1:13" s="68" customFormat="1" ht="17.25" customHeight="1" x14ac:dyDescent="0.35">
      <c r="A206" s="116"/>
      <c r="B206" s="117"/>
      <c r="C206" s="117"/>
      <c r="D206" s="117" t="s">
        <v>36</v>
      </c>
      <c r="E206" s="117">
        <v>1</v>
      </c>
      <c r="F206" s="117">
        <v>1</v>
      </c>
      <c r="G206" s="117"/>
      <c r="H206" s="118"/>
      <c r="I206" s="65" t="s">
        <v>212</v>
      </c>
      <c r="J206" s="30"/>
      <c r="K206" s="30"/>
      <c r="L206" s="30"/>
      <c r="M206" s="30"/>
    </row>
    <row r="207" spans="1:13" s="68" customFormat="1" ht="17.25" customHeight="1" x14ac:dyDescent="0.35">
      <c r="A207" s="116"/>
      <c r="B207" s="117"/>
      <c r="C207" s="117"/>
      <c r="D207" s="117" t="s">
        <v>36</v>
      </c>
      <c r="E207" s="117">
        <v>4</v>
      </c>
      <c r="F207" s="117">
        <v>0</v>
      </c>
      <c r="G207" s="117"/>
      <c r="H207" s="118"/>
      <c r="I207" s="65" t="s">
        <v>213</v>
      </c>
      <c r="J207" s="30"/>
      <c r="K207" s="30"/>
      <c r="L207" s="30"/>
      <c r="M207" s="30"/>
    </row>
    <row r="208" spans="1:13" s="68" customFormat="1" ht="17.25" customHeight="1" x14ac:dyDescent="0.35">
      <c r="A208" s="116"/>
      <c r="B208" s="117"/>
      <c r="C208" s="117"/>
      <c r="D208" s="117" t="s">
        <v>36</v>
      </c>
      <c r="E208" s="117">
        <v>1</v>
      </c>
      <c r="F208" s="117">
        <v>0</v>
      </c>
      <c r="G208" s="117"/>
      <c r="H208" s="118"/>
      <c r="I208" s="65" t="s">
        <v>214</v>
      </c>
      <c r="J208" s="30"/>
      <c r="K208" s="30"/>
      <c r="L208" s="30"/>
      <c r="M208" s="30"/>
    </row>
    <row r="209" spans="1:13" s="68" customFormat="1" ht="17.25" customHeight="1" x14ac:dyDescent="0.35">
      <c r="A209" s="116"/>
      <c r="B209" s="117"/>
      <c r="C209" s="117"/>
      <c r="D209" s="117" t="s">
        <v>36</v>
      </c>
      <c r="E209" s="117">
        <v>1</v>
      </c>
      <c r="F209" s="117">
        <v>0</v>
      </c>
      <c r="G209" s="117"/>
      <c r="H209" s="118"/>
      <c r="I209" s="65" t="s">
        <v>215</v>
      </c>
      <c r="J209" s="30"/>
      <c r="K209" s="30"/>
      <c r="L209" s="30"/>
      <c r="M209" s="30"/>
    </row>
    <row r="210" spans="1:13" s="68" customFormat="1" ht="17.25" customHeight="1" x14ac:dyDescent="0.35">
      <c r="A210" s="116"/>
      <c r="B210" s="117"/>
      <c r="C210" s="117"/>
      <c r="D210" s="117" t="s">
        <v>36</v>
      </c>
      <c r="E210" s="117">
        <v>1</v>
      </c>
      <c r="F210" s="117">
        <v>0</v>
      </c>
      <c r="G210" s="117"/>
      <c r="H210" s="118"/>
      <c r="I210" s="65" t="s">
        <v>500</v>
      </c>
      <c r="J210" s="30"/>
      <c r="K210" s="30"/>
      <c r="L210" s="30"/>
      <c r="M210" s="30"/>
    </row>
    <row r="211" spans="1:13" s="68" customFormat="1" ht="17.25" customHeight="1" x14ac:dyDescent="0.35">
      <c r="A211" s="116"/>
      <c r="B211" s="117"/>
      <c r="C211" s="117"/>
      <c r="D211" s="117" t="s">
        <v>36</v>
      </c>
      <c r="E211" s="117">
        <v>1</v>
      </c>
      <c r="F211" s="117">
        <v>0</v>
      </c>
      <c r="G211" s="117"/>
      <c r="H211" s="118"/>
      <c r="I211" s="65" t="s">
        <v>216</v>
      </c>
      <c r="J211" s="30"/>
      <c r="K211" s="30"/>
      <c r="L211" s="30"/>
      <c r="M211" s="30"/>
    </row>
    <row r="212" spans="1:13" s="68" customFormat="1" ht="17.25" customHeight="1" x14ac:dyDescent="0.35">
      <c r="A212" s="116"/>
      <c r="B212" s="117"/>
      <c r="C212" s="117"/>
      <c r="D212" s="117" t="s">
        <v>37</v>
      </c>
      <c r="E212" s="117">
        <v>16</v>
      </c>
      <c r="F212" s="117"/>
      <c r="G212" s="117"/>
      <c r="H212" s="118"/>
      <c r="I212" s="65" t="s">
        <v>217</v>
      </c>
      <c r="J212" s="30"/>
      <c r="K212" s="30"/>
      <c r="L212" s="30"/>
      <c r="M212" s="30"/>
    </row>
    <row r="213" spans="1:13" s="68" customFormat="1" ht="17.25" customHeight="1" x14ac:dyDescent="0.35">
      <c r="A213" s="116"/>
      <c r="B213" s="117"/>
      <c r="C213" s="117"/>
      <c r="D213" s="117" t="s">
        <v>36</v>
      </c>
      <c r="E213" s="117">
        <v>1</v>
      </c>
      <c r="F213" s="117">
        <v>1</v>
      </c>
      <c r="G213" s="117"/>
      <c r="H213" s="118"/>
      <c r="I213" s="65" t="s">
        <v>218</v>
      </c>
      <c r="J213" s="30"/>
      <c r="K213" s="30"/>
      <c r="L213" s="30"/>
      <c r="M213" s="30"/>
    </row>
    <row r="214" spans="1:13" s="68" customFormat="1" ht="17.25" customHeight="1" x14ac:dyDescent="0.35">
      <c r="A214" s="116"/>
      <c r="B214" s="117"/>
      <c r="C214" s="117"/>
      <c r="D214" s="117" t="s">
        <v>36</v>
      </c>
      <c r="E214" s="117">
        <v>1</v>
      </c>
      <c r="F214" s="117">
        <v>0</v>
      </c>
      <c r="G214" s="117"/>
      <c r="H214" s="118"/>
      <c r="I214" s="65" t="s">
        <v>501</v>
      </c>
      <c r="J214" s="30"/>
      <c r="K214" s="30"/>
      <c r="L214" s="30"/>
      <c r="M214" s="30"/>
    </row>
    <row r="215" spans="1:13" s="68" customFormat="1" ht="17.25" customHeight="1" x14ac:dyDescent="0.35">
      <c r="A215" s="116"/>
      <c r="B215" s="117"/>
      <c r="C215" s="117"/>
      <c r="D215" s="117" t="s">
        <v>36</v>
      </c>
      <c r="E215" s="117">
        <v>1</v>
      </c>
      <c r="F215" s="117">
        <v>0</v>
      </c>
      <c r="G215" s="117"/>
      <c r="H215" s="118"/>
      <c r="I215" s="65" t="s">
        <v>502</v>
      </c>
      <c r="J215" s="30"/>
      <c r="K215" s="30"/>
      <c r="L215" s="30"/>
      <c r="M215" s="30"/>
    </row>
    <row r="216" spans="1:13" s="68" customFormat="1" ht="17.25" customHeight="1" x14ac:dyDescent="0.35">
      <c r="A216" s="116"/>
      <c r="B216" s="117"/>
      <c r="C216" s="117"/>
      <c r="D216" s="117" t="s">
        <v>36</v>
      </c>
      <c r="E216" s="117">
        <v>1</v>
      </c>
      <c r="F216" s="117">
        <v>0</v>
      </c>
      <c r="G216" s="117"/>
      <c r="H216" s="118"/>
      <c r="I216" s="65" t="s">
        <v>219</v>
      </c>
      <c r="J216" s="30"/>
      <c r="K216" s="30"/>
      <c r="L216" s="30"/>
      <c r="M216" s="30"/>
    </row>
    <row r="217" spans="1:13" s="68" customFormat="1" ht="17.25" customHeight="1" x14ac:dyDescent="0.35">
      <c r="A217" s="116"/>
      <c r="B217" s="117"/>
      <c r="C217" s="117"/>
      <c r="D217" s="117" t="s">
        <v>36</v>
      </c>
      <c r="E217" s="117">
        <v>1</v>
      </c>
      <c r="F217" s="117">
        <v>1</v>
      </c>
      <c r="G217" s="117"/>
      <c r="H217" s="118"/>
      <c r="I217" s="65" t="s">
        <v>220</v>
      </c>
      <c r="J217" s="30"/>
      <c r="K217" s="30"/>
      <c r="L217" s="30"/>
      <c r="M217" s="30"/>
    </row>
    <row r="218" spans="1:13" s="68" customFormat="1" ht="17.25" customHeight="1" x14ac:dyDescent="0.35">
      <c r="A218" s="116"/>
      <c r="B218" s="117"/>
      <c r="C218" s="117"/>
      <c r="D218" s="117" t="s">
        <v>36</v>
      </c>
      <c r="E218" s="117">
        <v>1</v>
      </c>
      <c r="F218" s="117">
        <v>1</v>
      </c>
      <c r="G218" s="117"/>
      <c r="H218" s="118"/>
      <c r="I218" s="65" t="s">
        <v>503</v>
      </c>
      <c r="J218" s="30"/>
      <c r="K218" s="30"/>
      <c r="L218" s="30"/>
      <c r="M218" s="30"/>
    </row>
    <row r="219" spans="1:13" s="68" customFormat="1" ht="17.25" customHeight="1" x14ac:dyDescent="0.35">
      <c r="A219" s="116"/>
      <c r="B219" s="117"/>
      <c r="C219" s="117"/>
      <c r="D219" s="117" t="s">
        <v>36</v>
      </c>
      <c r="E219" s="117">
        <v>1</v>
      </c>
      <c r="F219" s="117">
        <v>1</v>
      </c>
      <c r="G219" s="117"/>
      <c r="H219" s="118"/>
      <c r="I219" s="65" t="s">
        <v>504</v>
      </c>
      <c r="J219" s="30"/>
      <c r="K219" s="30"/>
      <c r="L219" s="30"/>
      <c r="M219" s="30"/>
    </row>
    <row r="220" spans="1:13" s="68" customFormat="1" ht="17.25" customHeight="1" x14ac:dyDescent="0.35">
      <c r="A220" s="116"/>
      <c r="B220" s="117"/>
      <c r="C220" s="117"/>
      <c r="D220" s="117" t="s">
        <v>36</v>
      </c>
      <c r="E220" s="117">
        <v>1</v>
      </c>
      <c r="F220" s="117">
        <v>0</v>
      </c>
      <c r="G220" s="117"/>
      <c r="H220" s="118"/>
      <c r="I220" s="65" t="s">
        <v>322</v>
      </c>
      <c r="J220" s="30"/>
      <c r="K220" s="30"/>
      <c r="L220" s="30"/>
      <c r="M220" s="30"/>
    </row>
    <row r="221" spans="1:13" s="68" customFormat="1" ht="17.25" customHeight="1" x14ac:dyDescent="0.35">
      <c r="A221" s="116"/>
      <c r="B221" s="117"/>
      <c r="C221" s="117"/>
      <c r="D221" s="117" t="s">
        <v>36</v>
      </c>
      <c r="E221" s="117">
        <v>1</v>
      </c>
      <c r="F221" s="117">
        <v>1</v>
      </c>
      <c r="G221" s="117"/>
      <c r="H221" s="118"/>
      <c r="I221" s="65" t="s">
        <v>323</v>
      </c>
      <c r="J221" s="30"/>
      <c r="K221" s="30"/>
      <c r="L221" s="30"/>
      <c r="M221" s="30"/>
    </row>
    <row r="222" spans="1:13" s="68" customFormat="1" ht="17.25" customHeight="1" x14ac:dyDescent="0.35">
      <c r="A222" s="116"/>
      <c r="B222" s="117"/>
      <c r="C222" s="117"/>
      <c r="D222" s="117" t="s">
        <v>37</v>
      </c>
      <c r="E222" s="117">
        <v>128</v>
      </c>
      <c r="F222" s="117"/>
      <c r="G222" s="117"/>
      <c r="H222" s="118"/>
      <c r="I222" s="65" t="s">
        <v>505</v>
      </c>
      <c r="J222" s="30"/>
      <c r="K222" s="30"/>
      <c r="L222" s="30"/>
      <c r="M222" s="30"/>
    </row>
    <row r="223" spans="1:13" s="68" customFormat="1" ht="17.25" customHeight="1" x14ac:dyDescent="0.35">
      <c r="A223" s="116"/>
      <c r="B223" s="117"/>
      <c r="C223" s="117"/>
      <c r="D223" s="117" t="s">
        <v>37</v>
      </c>
      <c r="E223" s="117">
        <v>128</v>
      </c>
      <c r="F223" s="117" t="s">
        <v>626</v>
      </c>
      <c r="G223" s="117"/>
      <c r="H223" s="118"/>
      <c r="I223" s="65" t="s">
        <v>506</v>
      </c>
      <c r="J223" s="30"/>
      <c r="K223" s="30"/>
      <c r="L223" s="30"/>
      <c r="M223" s="30"/>
    </row>
    <row r="224" spans="1:13" s="68" customFormat="1" ht="17.25" customHeight="1" x14ac:dyDescent="0.35">
      <c r="A224" s="116"/>
      <c r="B224" s="117"/>
      <c r="C224" s="117"/>
      <c r="D224" s="117" t="s">
        <v>36</v>
      </c>
      <c r="E224" s="117">
        <v>1</v>
      </c>
      <c r="F224" s="117">
        <v>0</v>
      </c>
      <c r="G224" s="117"/>
      <c r="H224" s="118"/>
      <c r="I224" s="65" t="s">
        <v>324</v>
      </c>
      <c r="J224" s="30"/>
      <c r="K224" s="30"/>
      <c r="L224" s="30"/>
      <c r="M224" s="30"/>
    </row>
    <row r="225" spans="1:13" s="68" customFormat="1" ht="17.25" customHeight="1" x14ac:dyDescent="0.35">
      <c r="A225" s="116"/>
      <c r="B225" s="117"/>
      <c r="C225" s="117"/>
      <c r="D225" s="117" t="s">
        <v>36</v>
      </c>
      <c r="E225" s="117">
        <v>1</v>
      </c>
      <c r="F225" s="117">
        <v>0</v>
      </c>
      <c r="G225" s="117"/>
      <c r="H225" s="118"/>
      <c r="I225" s="65" t="s">
        <v>325</v>
      </c>
      <c r="J225" s="30"/>
      <c r="K225" s="30"/>
      <c r="L225" s="30"/>
      <c r="M225" s="30"/>
    </row>
    <row r="226" spans="1:13" s="68" customFormat="1" ht="17.25" customHeight="1" x14ac:dyDescent="0.35">
      <c r="A226" s="116"/>
      <c r="B226" s="117"/>
      <c r="C226" s="117"/>
      <c r="D226" s="117" t="s">
        <v>36</v>
      </c>
      <c r="E226" s="117">
        <v>1</v>
      </c>
      <c r="F226" s="117">
        <v>0</v>
      </c>
      <c r="G226" s="117"/>
      <c r="H226" s="118"/>
      <c r="I226" s="65" t="s">
        <v>326</v>
      </c>
      <c r="J226" s="30"/>
      <c r="K226" s="30"/>
      <c r="L226" s="30"/>
      <c r="M226" s="30"/>
    </row>
    <row r="227" spans="1:13" s="68" customFormat="1" ht="17.25" customHeight="1" x14ac:dyDescent="0.35">
      <c r="A227" s="116"/>
      <c r="B227" s="117"/>
      <c r="C227" s="117"/>
      <c r="D227" s="117" t="s">
        <v>36</v>
      </c>
      <c r="E227" s="117">
        <v>1</v>
      </c>
      <c r="F227" s="117">
        <v>0</v>
      </c>
      <c r="G227" s="117"/>
      <c r="H227" s="118"/>
      <c r="I227" s="65" t="s">
        <v>327</v>
      </c>
      <c r="J227" s="30"/>
      <c r="K227" s="30"/>
      <c r="L227" s="30"/>
      <c r="M227" s="30"/>
    </row>
    <row r="228" spans="1:13" s="68" customFormat="1" ht="17.25" customHeight="1" x14ac:dyDescent="0.35">
      <c r="A228" s="116"/>
      <c r="B228" s="117"/>
      <c r="C228" s="117"/>
      <c r="D228" s="117" t="s">
        <v>36</v>
      </c>
      <c r="E228" s="117">
        <v>1</v>
      </c>
      <c r="F228" s="117">
        <v>0</v>
      </c>
      <c r="G228" s="117"/>
      <c r="H228" s="118"/>
      <c r="I228" s="65" t="s">
        <v>328</v>
      </c>
      <c r="J228" s="30"/>
      <c r="K228" s="30"/>
      <c r="L228" s="30"/>
      <c r="M228" s="30"/>
    </row>
    <row r="229" spans="1:13" s="68" customFormat="1" ht="17.25" customHeight="1" x14ac:dyDescent="0.35">
      <c r="A229" s="116"/>
      <c r="B229" s="117"/>
      <c r="C229" s="117"/>
      <c r="D229" s="117" t="s">
        <v>36</v>
      </c>
      <c r="E229" s="117">
        <v>1</v>
      </c>
      <c r="F229" s="117">
        <v>0</v>
      </c>
      <c r="G229" s="117"/>
      <c r="H229" s="118"/>
      <c r="I229" s="65" t="s">
        <v>329</v>
      </c>
      <c r="J229" s="30"/>
      <c r="K229" s="30"/>
      <c r="L229" s="30"/>
      <c r="M229" s="30"/>
    </row>
    <row r="230" spans="1:13" s="68" customFormat="1" ht="17.25" customHeight="1" x14ac:dyDescent="0.35">
      <c r="A230" s="116"/>
      <c r="B230" s="117"/>
      <c r="C230" s="117"/>
      <c r="D230" s="117" t="s">
        <v>36</v>
      </c>
      <c r="E230" s="117">
        <v>4</v>
      </c>
      <c r="F230" s="117">
        <v>0</v>
      </c>
      <c r="G230" s="117"/>
      <c r="H230" s="118"/>
      <c r="I230" s="65" t="s">
        <v>507</v>
      </c>
      <c r="J230" s="30"/>
      <c r="K230" s="30"/>
      <c r="L230" s="30"/>
      <c r="M230" s="30"/>
    </row>
    <row r="231" spans="1:13" s="68" customFormat="1" ht="17.25" customHeight="1" x14ac:dyDescent="0.35">
      <c r="A231" s="116"/>
      <c r="B231" s="117"/>
      <c r="C231" s="117"/>
      <c r="D231" s="117" t="s">
        <v>36</v>
      </c>
      <c r="E231" s="117">
        <v>4</v>
      </c>
      <c r="F231" s="117">
        <v>2000</v>
      </c>
      <c r="G231" s="117"/>
      <c r="H231" s="118"/>
      <c r="I231" s="65" t="s">
        <v>344</v>
      </c>
      <c r="J231" s="30"/>
      <c r="K231" s="30"/>
      <c r="L231" s="30"/>
      <c r="M231" s="30"/>
    </row>
    <row r="232" spans="1:13" s="68" customFormat="1" ht="17.25" customHeight="1" x14ac:dyDescent="0.35">
      <c r="A232" s="116"/>
      <c r="B232" s="117"/>
      <c r="C232" s="117"/>
      <c r="D232" s="117" t="s">
        <v>36</v>
      </c>
      <c r="E232" s="117">
        <v>1</v>
      </c>
      <c r="F232" s="117">
        <v>1</v>
      </c>
      <c r="G232" s="117"/>
      <c r="H232" s="118"/>
      <c r="I232" s="65" t="s">
        <v>508</v>
      </c>
      <c r="J232" s="30"/>
      <c r="K232" s="30"/>
      <c r="L232" s="30"/>
      <c r="M232" s="30"/>
    </row>
    <row r="233" spans="1:13" s="68" customFormat="1" ht="17.25" customHeight="1" x14ac:dyDescent="0.35">
      <c r="A233" s="116"/>
      <c r="B233" s="117"/>
      <c r="C233" s="117"/>
      <c r="D233" s="117" t="s">
        <v>36</v>
      </c>
      <c r="E233" s="117">
        <v>1</v>
      </c>
      <c r="F233" s="117"/>
      <c r="G233" s="117"/>
      <c r="H233" s="118"/>
      <c r="I233" s="65" t="s">
        <v>509</v>
      </c>
      <c r="J233" s="30"/>
      <c r="K233" s="30"/>
      <c r="L233" s="30"/>
      <c r="M233" s="30"/>
    </row>
    <row r="234" spans="1:13" s="68" customFormat="1" ht="17.25" customHeight="1" x14ac:dyDescent="0.35">
      <c r="A234" s="116"/>
      <c r="B234" s="117"/>
      <c r="C234" s="117"/>
      <c r="D234" s="117" t="s">
        <v>37</v>
      </c>
      <c r="E234" s="117">
        <v>128</v>
      </c>
      <c r="F234" s="117"/>
      <c r="G234" s="117"/>
      <c r="H234" s="118"/>
      <c r="I234" s="65" t="s">
        <v>510</v>
      </c>
      <c r="J234" s="30"/>
      <c r="K234" s="30"/>
      <c r="L234" s="30"/>
      <c r="M234" s="30"/>
    </row>
    <row r="235" spans="1:13" s="68" customFormat="1" ht="17.25" customHeight="1" x14ac:dyDescent="0.35">
      <c r="A235" s="116"/>
      <c r="B235" s="117"/>
      <c r="C235" s="117"/>
      <c r="D235" s="117" t="s">
        <v>36</v>
      </c>
      <c r="E235" s="117">
        <v>1</v>
      </c>
      <c r="F235" s="117"/>
      <c r="G235" s="117"/>
      <c r="H235" s="118"/>
      <c r="I235" s="65" t="s">
        <v>511</v>
      </c>
      <c r="J235" s="30"/>
      <c r="K235" s="30"/>
      <c r="L235" s="30"/>
      <c r="M235" s="30"/>
    </row>
    <row r="236" spans="1:13" s="68" customFormat="1" ht="17.25" customHeight="1" x14ac:dyDescent="0.35">
      <c r="A236" s="116"/>
      <c r="B236" s="117"/>
      <c r="C236" s="117"/>
      <c r="D236" s="117" t="s">
        <v>36</v>
      </c>
      <c r="E236" s="117">
        <v>1</v>
      </c>
      <c r="F236" s="117"/>
      <c r="G236" s="117"/>
      <c r="H236" s="118"/>
      <c r="I236" s="65" t="s">
        <v>512</v>
      </c>
      <c r="J236" s="30"/>
      <c r="K236" s="30"/>
      <c r="L236" s="30"/>
      <c r="M236" s="30"/>
    </row>
    <row r="237" spans="1:13" s="68" customFormat="1" ht="17.25" customHeight="1" x14ac:dyDescent="0.35">
      <c r="A237" s="116"/>
      <c r="B237" s="117"/>
      <c r="C237" s="117"/>
      <c r="D237" s="117" t="s">
        <v>36</v>
      </c>
      <c r="E237" s="117">
        <v>1</v>
      </c>
      <c r="F237" s="117"/>
      <c r="G237" s="117"/>
      <c r="H237" s="118"/>
      <c r="I237" s="65" t="s">
        <v>513</v>
      </c>
      <c r="J237" s="30"/>
      <c r="K237" s="30"/>
      <c r="L237" s="30"/>
      <c r="M237" s="30"/>
    </row>
    <row r="238" spans="1:13" s="68" customFormat="1" ht="17.25" customHeight="1" x14ac:dyDescent="0.2">
      <c r="A238" s="116"/>
      <c r="B238" s="117"/>
      <c r="C238" s="117"/>
      <c r="D238" s="117" t="s">
        <v>36</v>
      </c>
      <c r="E238" s="117">
        <v>2</v>
      </c>
      <c r="F238" s="117"/>
      <c r="G238" s="117"/>
      <c r="H238" s="118"/>
      <c r="I238" s="99" t="s">
        <v>514</v>
      </c>
      <c r="J238" s="30"/>
      <c r="K238" s="30"/>
      <c r="L238" s="30"/>
      <c r="M238" s="30"/>
    </row>
    <row r="239" spans="1:13" s="68" customFormat="1" ht="17.25" customHeight="1" x14ac:dyDescent="0.2">
      <c r="A239" s="116"/>
      <c r="B239" s="117"/>
      <c r="C239" s="117"/>
      <c r="D239" s="117" t="s">
        <v>36</v>
      </c>
      <c r="E239" s="117">
        <v>2</v>
      </c>
      <c r="F239" s="117"/>
      <c r="G239" s="117"/>
      <c r="H239" s="118"/>
      <c r="I239" s="99" t="s">
        <v>515</v>
      </c>
      <c r="J239" s="30"/>
      <c r="K239" s="30"/>
      <c r="L239" s="30"/>
      <c r="M239" s="30"/>
    </row>
    <row r="240" spans="1:13" s="68" customFormat="1" ht="17.25" customHeight="1" x14ac:dyDescent="0.2">
      <c r="A240" s="116"/>
      <c r="B240" s="117"/>
      <c r="C240" s="117"/>
      <c r="D240" s="117" t="s">
        <v>36</v>
      </c>
      <c r="E240" s="117">
        <v>2</v>
      </c>
      <c r="F240" s="117"/>
      <c r="G240" s="117"/>
      <c r="H240" s="118"/>
      <c r="I240" s="99" t="s">
        <v>516</v>
      </c>
      <c r="J240" s="30"/>
      <c r="K240" s="30"/>
      <c r="L240" s="30"/>
      <c r="M240" s="30"/>
    </row>
    <row r="241" spans="1:13" s="68" customFormat="1" ht="17.25" customHeight="1" x14ac:dyDescent="0.2">
      <c r="A241" s="116"/>
      <c r="B241" s="117"/>
      <c r="C241" s="117"/>
      <c r="D241" s="117" t="s">
        <v>36</v>
      </c>
      <c r="E241" s="117">
        <v>2</v>
      </c>
      <c r="F241" s="117"/>
      <c r="G241" s="117"/>
      <c r="H241" s="118"/>
      <c r="I241" s="99" t="s">
        <v>517</v>
      </c>
      <c r="J241" s="30"/>
      <c r="K241" s="30"/>
      <c r="L241" s="30"/>
      <c r="M241" s="30"/>
    </row>
    <row r="242" spans="1:13" s="68" customFormat="1" ht="17.25" customHeight="1" x14ac:dyDescent="0.2">
      <c r="A242" s="116"/>
      <c r="B242" s="117"/>
      <c r="C242" s="117"/>
      <c r="D242" s="117" t="s">
        <v>36</v>
      </c>
      <c r="E242" s="117">
        <v>2</v>
      </c>
      <c r="F242" s="117"/>
      <c r="G242" s="117"/>
      <c r="H242" s="118"/>
      <c r="I242" s="99" t="s">
        <v>518</v>
      </c>
      <c r="J242" s="30"/>
      <c r="K242" s="30"/>
      <c r="L242" s="30"/>
      <c r="M242" s="30"/>
    </row>
    <row r="243" spans="1:13" s="68" customFormat="1" ht="17.25" customHeight="1" x14ac:dyDescent="0.2">
      <c r="A243" s="116"/>
      <c r="B243" s="117"/>
      <c r="C243" s="117"/>
      <c r="D243" s="117" t="s">
        <v>36</v>
      </c>
      <c r="E243" s="117">
        <v>2</v>
      </c>
      <c r="F243" s="117"/>
      <c r="G243" s="117"/>
      <c r="H243" s="118"/>
      <c r="I243" s="99" t="s">
        <v>519</v>
      </c>
      <c r="J243" s="30"/>
      <c r="K243" s="30"/>
      <c r="L243" s="30"/>
      <c r="M243" s="30"/>
    </row>
    <row r="244" spans="1:13" s="68" customFormat="1" ht="17.25" customHeight="1" x14ac:dyDescent="0.2">
      <c r="A244" s="116"/>
      <c r="B244" s="117"/>
      <c r="C244" s="117"/>
      <c r="D244" s="117" t="s">
        <v>36</v>
      </c>
      <c r="E244" s="117">
        <v>2</v>
      </c>
      <c r="F244" s="117"/>
      <c r="G244" s="117"/>
      <c r="H244" s="118"/>
      <c r="I244" s="99" t="s">
        <v>520</v>
      </c>
      <c r="J244" s="30"/>
      <c r="K244" s="30"/>
      <c r="L244" s="30"/>
      <c r="M244" s="30"/>
    </row>
    <row r="245" spans="1:13" s="68" customFormat="1" ht="17.25" customHeight="1" x14ac:dyDescent="0.2">
      <c r="A245" s="116"/>
      <c r="B245" s="117"/>
      <c r="C245" s="117"/>
      <c r="D245" s="117" t="s">
        <v>36</v>
      </c>
      <c r="E245" s="117">
        <v>2</v>
      </c>
      <c r="F245" s="117"/>
      <c r="G245" s="117"/>
      <c r="H245" s="118"/>
      <c r="I245" s="99" t="s">
        <v>521</v>
      </c>
      <c r="J245" s="30"/>
      <c r="K245" s="30"/>
      <c r="L245" s="30"/>
      <c r="M245" s="30"/>
    </row>
    <row r="246" spans="1:13" s="68" customFormat="1" ht="17.25" customHeight="1" x14ac:dyDescent="0.2">
      <c r="A246" s="116"/>
      <c r="B246" s="117"/>
      <c r="C246" s="117"/>
      <c r="D246" s="117" t="s">
        <v>36</v>
      </c>
      <c r="E246" s="117">
        <v>2</v>
      </c>
      <c r="F246" s="117"/>
      <c r="G246" s="117"/>
      <c r="H246" s="118"/>
      <c r="I246" s="99" t="s">
        <v>522</v>
      </c>
      <c r="J246" s="30"/>
      <c r="K246" s="30"/>
      <c r="L246" s="30"/>
      <c r="M246" s="30"/>
    </row>
    <row r="247" spans="1:13" s="68" customFormat="1" ht="17.25" customHeight="1" x14ac:dyDescent="0.2">
      <c r="A247" s="116"/>
      <c r="B247" s="117"/>
      <c r="C247" s="117"/>
      <c r="D247" s="117" t="s">
        <v>36</v>
      </c>
      <c r="E247" s="117">
        <v>1</v>
      </c>
      <c r="F247" s="117"/>
      <c r="G247" s="117"/>
      <c r="H247" s="118"/>
      <c r="I247" s="99" t="s">
        <v>523</v>
      </c>
      <c r="J247" s="30"/>
      <c r="K247" s="30"/>
      <c r="L247" s="30"/>
      <c r="M247" s="30"/>
    </row>
    <row r="248" spans="1:13" s="68" customFormat="1" ht="17.25" customHeight="1" x14ac:dyDescent="0.2">
      <c r="A248" s="116"/>
      <c r="B248" s="117"/>
      <c r="C248" s="117"/>
      <c r="D248" s="117" t="s">
        <v>36</v>
      </c>
      <c r="E248" s="117">
        <v>1</v>
      </c>
      <c r="F248" s="117"/>
      <c r="G248" s="117"/>
      <c r="H248" s="118"/>
      <c r="I248" s="99" t="s">
        <v>524</v>
      </c>
      <c r="J248" s="30"/>
      <c r="K248" s="30"/>
      <c r="L248" s="30"/>
      <c r="M248" s="30"/>
    </row>
    <row r="249" spans="1:13" s="68" customFormat="1" ht="17.25" customHeight="1" x14ac:dyDescent="0.2">
      <c r="A249" s="116"/>
      <c r="B249" s="117"/>
      <c r="C249" s="117"/>
      <c r="D249" s="117" t="s">
        <v>36</v>
      </c>
      <c r="E249" s="117">
        <v>2</v>
      </c>
      <c r="F249" s="117"/>
      <c r="G249" s="117"/>
      <c r="H249" s="118"/>
      <c r="I249" s="99" t="s">
        <v>525</v>
      </c>
      <c r="J249" s="30"/>
      <c r="K249" s="30"/>
      <c r="L249" s="30"/>
      <c r="M249" s="30"/>
    </row>
    <row r="250" spans="1:13" s="68" customFormat="1" ht="17.25" customHeight="1" x14ac:dyDescent="0.2">
      <c r="A250" s="116"/>
      <c r="B250" s="117"/>
      <c r="C250" s="117"/>
      <c r="D250" s="117" t="s">
        <v>36</v>
      </c>
      <c r="E250" s="117">
        <v>2</v>
      </c>
      <c r="F250" s="117"/>
      <c r="G250" s="117"/>
      <c r="H250" s="118"/>
      <c r="I250" s="99" t="s">
        <v>526</v>
      </c>
      <c r="J250" s="30"/>
      <c r="K250" s="30"/>
      <c r="L250" s="30"/>
      <c r="M250" s="30"/>
    </row>
    <row r="251" spans="1:13" s="68" customFormat="1" ht="17.25" customHeight="1" x14ac:dyDescent="0.2">
      <c r="A251" s="116"/>
      <c r="B251" s="117"/>
      <c r="C251" s="117"/>
      <c r="D251" s="117" t="s">
        <v>36</v>
      </c>
      <c r="E251" s="117">
        <v>2</v>
      </c>
      <c r="F251" s="117"/>
      <c r="G251" s="117"/>
      <c r="H251" s="118"/>
      <c r="I251" s="99" t="s">
        <v>527</v>
      </c>
      <c r="J251" s="30"/>
      <c r="K251" s="30"/>
      <c r="L251" s="30"/>
      <c r="M251" s="30"/>
    </row>
    <row r="252" spans="1:13" s="68" customFormat="1" ht="17.25" customHeight="1" x14ac:dyDescent="0.2">
      <c r="A252" s="116"/>
      <c r="B252" s="117"/>
      <c r="C252" s="117"/>
      <c r="D252" s="117" t="s">
        <v>36</v>
      </c>
      <c r="E252" s="117">
        <v>2</v>
      </c>
      <c r="F252" s="117"/>
      <c r="G252" s="117"/>
      <c r="H252" s="118"/>
      <c r="I252" s="99" t="s">
        <v>528</v>
      </c>
      <c r="J252" s="30"/>
      <c r="K252" s="30"/>
      <c r="L252" s="30"/>
      <c r="M252" s="30"/>
    </row>
    <row r="253" spans="1:13" s="68" customFormat="1" ht="17.25" customHeight="1" x14ac:dyDescent="0.2">
      <c r="A253" s="116"/>
      <c r="B253" s="117"/>
      <c r="C253" s="117"/>
      <c r="D253" s="117" t="s">
        <v>36</v>
      </c>
      <c r="E253" s="117">
        <v>1</v>
      </c>
      <c r="F253" s="117"/>
      <c r="G253" s="117"/>
      <c r="H253" s="118"/>
      <c r="I253" s="99" t="s">
        <v>529</v>
      </c>
      <c r="J253" s="30"/>
      <c r="K253" s="30"/>
      <c r="L253" s="30"/>
      <c r="M253" s="30"/>
    </row>
    <row r="254" spans="1:13" s="68" customFormat="1" ht="17.25" customHeight="1" x14ac:dyDescent="0.2">
      <c r="A254" s="116"/>
      <c r="B254" s="117"/>
      <c r="C254" s="117"/>
      <c r="D254" s="117" t="s">
        <v>36</v>
      </c>
      <c r="E254" s="117">
        <v>2</v>
      </c>
      <c r="F254" s="117"/>
      <c r="G254" s="117"/>
      <c r="H254" s="118"/>
      <c r="I254" s="99" t="s">
        <v>530</v>
      </c>
      <c r="J254" s="30"/>
      <c r="K254" s="30"/>
      <c r="L254" s="30"/>
      <c r="M254" s="30"/>
    </row>
    <row r="255" spans="1:13" s="68" customFormat="1" ht="17.25" customHeight="1" x14ac:dyDescent="0.2">
      <c r="A255" s="116"/>
      <c r="B255" s="117"/>
      <c r="C255" s="117"/>
      <c r="D255" s="117" t="s">
        <v>36</v>
      </c>
      <c r="E255" s="117">
        <v>2</v>
      </c>
      <c r="F255" s="117"/>
      <c r="G255" s="117"/>
      <c r="H255" s="118"/>
      <c r="I255" s="99" t="s">
        <v>531</v>
      </c>
      <c r="J255" s="30"/>
      <c r="K255" s="30"/>
      <c r="L255" s="30"/>
      <c r="M255" s="30"/>
    </row>
    <row r="256" spans="1:13" s="68" customFormat="1" ht="17.25" customHeight="1" x14ac:dyDescent="0.2">
      <c r="A256" s="116"/>
      <c r="B256" s="117"/>
      <c r="C256" s="117"/>
      <c r="D256" s="117" t="s">
        <v>36</v>
      </c>
      <c r="E256" s="117">
        <v>2</v>
      </c>
      <c r="F256" s="117"/>
      <c r="G256" s="117"/>
      <c r="H256" s="118"/>
      <c r="I256" s="99" t="s">
        <v>532</v>
      </c>
      <c r="J256" s="30"/>
      <c r="K256" s="30"/>
      <c r="L256" s="30"/>
      <c r="M256" s="30"/>
    </row>
    <row r="257" spans="1:13" s="68" customFormat="1" ht="17.25" customHeight="1" x14ac:dyDescent="0.2">
      <c r="A257" s="116"/>
      <c r="B257" s="117"/>
      <c r="C257" s="117"/>
      <c r="D257" s="117" t="s">
        <v>36</v>
      </c>
      <c r="E257" s="117">
        <v>2</v>
      </c>
      <c r="F257" s="117"/>
      <c r="G257" s="117"/>
      <c r="H257" s="118"/>
      <c r="I257" s="99" t="s">
        <v>533</v>
      </c>
      <c r="J257" s="30"/>
      <c r="K257" s="30"/>
      <c r="L257" s="30"/>
      <c r="M257" s="30"/>
    </row>
    <row r="258" spans="1:13" s="68" customFormat="1" ht="17.25" customHeight="1" x14ac:dyDescent="0.2">
      <c r="A258" s="116"/>
      <c r="B258" s="117"/>
      <c r="C258" s="117"/>
      <c r="D258" s="117" t="s">
        <v>36</v>
      </c>
      <c r="E258" s="117">
        <v>1</v>
      </c>
      <c r="F258" s="117"/>
      <c r="G258" s="117"/>
      <c r="H258" s="118"/>
      <c r="I258" s="99" t="s">
        <v>534</v>
      </c>
      <c r="J258" s="30"/>
      <c r="K258" s="30"/>
      <c r="L258" s="30"/>
      <c r="M258" s="30"/>
    </row>
    <row r="259" spans="1:13" s="68" customFormat="1" ht="17.25" customHeight="1" x14ac:dyDescent="0.2">
      <c r="A259" s="116"/>
      <c r="B259" s="117"/>
      <c r="C259" s="117"/>
      <c r="D259" s="117" t="s">
        <v>36</v>
      </c>
      <c r="E259" s="117">
        <v>1</v>
      </c>
      <c r="F259" s="117"/>
      <c r="G259" s="117"/>
      <c r="H259" s="118"/>
      <c r="I259" s="99" t="s">
        <v>627</v>
      </c>
      <c r="J259" s="30"/>
      <c r="K259" s="30"/>
      <c r="L259" s="30"/>
      <c r="M259" s="30"/>
    </row>
    <row r="260" spans="1:13" s="68" customFormat="1" ht="17.25" customHeight="1" x14ac:dyDescent="0.35">
      <c r="A260" s="116"/>
      <c r="B260" s="117"/>
      <c r="C260" s="117"/>
      <c r="D260" s="117" t="s">
        <v>37</v>
      </c>
      <c r="E260" s="117">
        <v>35</v>
      </c>
      <c r="F260" s="117"/>
      <c r="G260" s="117"/>
      <c r="H260" s="118"/>
      <c r="I260" s="65" t="s">
        <v>222</v>
      </c>
      <c r="J260" s="30"/>
      <c r="K260" s="30"/>
      <c r="L260" s="30"/>
      <c r="M260" s="30"/>
    </row>
    <row r="261" spans="1:13" s="68" customFormat="1" ht="17.25" customHeight="1" x14ac:dyDescent="0.35">
      <c r="A261" s="116" t="s">
        <v>567</v>
      </c>
      <c r="B261" s="117" t="s">
        <v>568</v>
      </c>
      <c r="C261" s="117" t="s">
        <v>58</v>
      </c>
      <c r="D261" s="117"/>
      <c r="E261" s="117"/>
      <c r="F261" s="117"/>
      <c r="G261" s="136" t="s">
        <v>591</v>
      </c>
      <c r="H261" s="118"/>
      <c r="I261" s="65">
        <v>67332</v>
      </c>
      <c r="J261" s="30"/>
      <c r="K261" s="30"/>
      <c r="L261" s="30"/>
      <c r="M261" s="30"/>
    </row>
    <row r="262" spans="1:13" s="68" customFormat="1" ht="17.25" customHeight="1" x14ac:dyDescent="0.35">
      <c r="A262" s="116"/>
      <c r="B262" s="117"/>
      <c r="C262" s="117"/>
      <c r="D262" s="117" t="s">
        <v>36</v>
      </c>
      <c r="E262" s="117">
        <v>1</v>
      </c>
      <c r="F262" s="117">
        <v>6</v>
      </c>
      <c r="G262" s="117"/>
      <c r="H262" s="118"/>
      <c r="I262" s="65" t="s">
        <v>173</v>
      </c>
      <c r="J262" s="30"/>
      <c r="K262" s="30"/>
      <c r="L262" s="30"/>
      <c r="M262" s="30"/>
    </row>
    <row r="263" spans="1:13" s="68" customFormat="1" ht="17.25" customHeight="1" x14ac:dyDescent="0.35">
      <c r="A263" s="116"/>
      <c r="B263" s="117"/>
      <c r="C263" s="117"/>
      <c r="D263" s="117" t="s">
        <v>36</v>
      </c>
      <c r="E263" s="117">
        <v>2</v>
      </c>
      <c r="F263" s="117">
        <v>1400</v>
      </c>
      <c r="G263" s="117"/>
      <c r="H263" s="118"/>
      <c r="I263" s="65" t="s">
        <v>628</v>
      </c>
      <c r="J263" s="30"/>
      <c r="K263" s="30"/>
      <c r="L263" s="30"/>
      <c r="M263" s="30"/>
    </row>
    <row r="264" spans="1:13" s="68" customFormat="1" ht="17.25" customHeight="1" x14ac:dyDescent="0.35">
      <c r="A264" s="116"/>
      <c r="B264" s="117"/>
      <c r="C264" s="117"/>
      <c r="D264" s="117" t="s">
        <v>36</v>
      </c>
      <c r="E264" s="117">
        <v>1</v>
      </c>
      <c r="F264" s="117"/>
      <c r="G264" s="117"/>
      <c r="H264" s="118"/>
      <c r="I264" s="65" t="s">
        <v>629</v>
      </c>
      <c r="J264" s="30"/>
      <c r="K264" s="30"/>
      <c r="L264" s="30"/>
      <c r="M264" s="30"/>
    </row>
    <row r="265" spans="1:13" s="68" customFormat="1" ht="17.25" customHeight="1" x14ac:dyDescent="0.35">
      <c r="A265" s="116"/>
      <c r="B265" s="117"/>
      <c r="C265" s="117"/>
      <c r="D265" s="117" t="s">
        <v>36</v>
      </c>
      <c r="E265" s="117">
        <v>2</v>
      </c>
      <c r="F265" s="117"/>
      <c r="G265" s="117"/>
      <c r="H265" s="118"/>
      <c r="I265" s="65" t="s">
        <v>630</v>
      </c>
      <c r="J265" s="30"/>
      <c r="K265" s="30"/>
      <c r="L265" s="30"/>
      <c r="M265" s="30"/>
    </row>
    <row r="266" spans="1:13" s="68" customFormat="1" ht="17.25" customHeight="1" x14ac:dyDescent="0.35">
      <c r="A266" s="116"/>
      <c r="B266" s="117"/>
      <c r="C266" s="117"/>
      <c r="D266" s="117" t="s">
        <v>36</v>
      </c>
      <c r="E266" s="117">
        <v>1</v>
      </c>
      <c r="F266" s="117"/>
      <c r="G266" s="117"/>
      <c r="H266" s="118"/>
      <c r="I266" s="65" t="s">
        <v>631</v>
      </c>
      <c r="J266" s="30"/>
      <c r="K266" s="30"/>
      <c r="L266" s="30"/>
      <c r="M266" s="30"/>
    </row>
    <row r="267" spans="1:13" s="68" customFormat="1" ht="17.25" customHeight="1" x14ac:dyDescent="0.35">
      <c r="A267" s="116"/>
      <c r="B267" s="117"/>
      <c r="C267" s="117"/>
      <c r="D267" s="117" t="s">
        <v>36</v>
      </c>
      <c r="E267" s="117">
        <v>1</v>
      </c>
      <c r="F267" s="117"/>
      <c r="G267" s="117"/>
      <c r="H267" s="118"/>
      <c r="I267" s="65" t="s">
        <v>632</v>
      </c>
      <c r="J267" s="30"/>
      <c r="K267" s="30"/>
      <c r="L267" s="30"/>
      <c r="M267" s="30"/>
    </row>
    <row r="268" spans="1:13" s="68" customFormat="1" ht="17.25" customHeight="1" x14ac:dyDescent="0.35">
      <c r="A268" s="116"/>
      <c r="B268" s="117"/>
      <c r="C268" s="117"/>
      <c r="D268" s="117" t="s">
        <v>36</v>
      </c>
      <c r="E268" s="117">
        <v>1</v>
      </c>
      <c r="F268" s="117"/>
      <c r="G268" s="117"/>
      <c r="H268" s="118"/>
      <c r="I268" s="65" t="s">
        <v>633</v>
      </c>
      <c r="J268" s="30"/>
      <c r="K268" s="30"/>
      <c r="L268" s="30"/>
      <c r="M268" s="30"/>
    </row>
    <row r="269" spans="1:13" s="68" customFormat="1" ht="17.25" customHeight="1" x14ac:dyDescent="0.35">
      <c r="A269" s="116"/>
      <c r="B269" s="117"/>
      <c r="C269" s="117"/>
      <c r="D269" s="117" t="s">
        <v>36</v>
      </c>
      <c r="E269" s="117">
        <v>1</v>
      </c>
      <c r="F269" s="117"/>
      <c r="G269" s="117"/>
      <c r="H269" s="118"/>
      <c r="I269" s="65" t="s">
        <v>634</v>
      </c>
      <c r="J269" s="30"/>
      <c r="K269" s="30"/>
      <c r="L269" s="30"/>
      <c r="M269" s="30"/>
    </row>
    <row r="270" spans="1:13" s="68" customFormat="1" ht="17.25" customHeight="1" x14ac:dyDescent="0.35">
      <c r="A270" s="116"/>
      <c r="B270" s="117"/>
      <c r="C270" s="117"/>
      <c r="D270" s="117" t="s">
        <v>36</v>
      </c>
      <c r="E270" s="117">
        <v>1</v>
      </c>
      <c r="F270" s="117"/>
      <c r="G270" s="117"/>
      <c r="H270" s="118"/>
      <c r="I270" s="65" t="s">
        <v>635</v>
      </c>
      <c r="J270" s="30"/>
      <c r="K270" s="30"/>
      <c r="L270" s="30"/>
      <c r="M270" s="30"/>
    </row>
    <row r="271" spans="1:13" s="68" customFormat="1" ht="17.25" customHeight="1" x14ac:dyDescent="0.35">
      <c r="A271" s="116"/>
      <c r="B271" s="117"/>
      <c r="C271" s="117"/>
      <c r="D271" s="117" t="s">
        <v>36</v>
      </c>
      <c r="E271" s="117">
        <v>1</v>
      </c>
      <c r="F271" s="117"/>
      <c r="G271" s="117"/>
      <c r="H271" s="118"/>
      <c r="I271" s="65" t="s">
        <v>636</v>
      </c>
      <c r="J271" s="30"/>
      <c r="K271" s="30"/>
      <c r="L271" s="30"/>
      <c r="M271" s="30"/>
    </row>
    <row r="272" spans="1:13" s="68" customFormat="1" ht="17.25" customHeight="1" x14ac:dyDescent="0.35">
      <c r="A272" s="116"/>
      <c r="B272" s="117"/>
      <c r="C272" s="117"/>
      <c r="D272" s="117" t="s">
        <v>36</v>
      </c>
      <c r="E272" s="117">
        <v>2</v>
      </c>
      <c r="F272" s="117"/>
      <c r="G272" s="117"/>
      <c r="H272" s="118"/>
      <c r="I272" s="65" t="s">
        <v>637</v>
      </c>
      <c r="J272" s="30"/>
      <c r="K272" s="30"/>
      <c r="L272" s="30"/>
      <c r="M272" s="30"/>
    </row>
    <row r="273" spans="1:13" s="68" customFormat="1" ht="17.25" customHeight="1" x14ac:dyDescent="0.35">
      <c r="A273" s="116"/>
      <c r="B273" s="117"/>
      <c r="C273" s="117"/>
      <c r="D273" s="117" t="s">
        <v>36</v>
      </c>
      <c r="E273" s="117">
        <v>2</v>
      </c>
      <c r="F273" s="117"/>
      <c r="G273" s="117"/>
      <c r="H273" s="118"/>
      <c r="I273" s="65" t="s">
        <v>638</v>
      </c>
      <c r="J273" s="30"/>
      <c r="K273" s="30"/>
      <c r="L273" s="30"/>
      <c r="M273" s="30"/>
    </row>
    <row r="274" spans="1:13" s="68" customFormat="1" ht="17.25" customHeight="1" x14ac:dyDescent="0.35">
      <c r="A274" s="116"/>
      <c r="B274" s="117"/>
      <c r="C274" s="117"/>
      <c r="D274" s="117" t="s">
        <v>36</v>
      </c>
      <c r="E274" s="117">
        <v>1</v>
      </c>
      <c r="F274" s="117"/>
      <c r="G274" s="117"/>
      <c r="H274" s="118"/>
      <c r="I274" s="65" t="s">
        <v>639</v>
      </c>
      <c r="J274" s="30"/>
      <c r="K274" s="30"/>
      <c r="L274" s="30"/>
      <c r="M274" s="30"/>
    </row>
    <row r="275" spans="1:13" s="68" customFormat="1" ht="17.25" customHeight="1" x14ac:dyDescent="0.35">
      <c r="A275" s="116"/>
      <c r="B275" s="117"/>
      <c r="C275" s="117"/>
      <c r="D275" s="117" t="s">
        <v>36</v>
      </c>
      <c r="E275" s="117">
        <v>1</v>
      </c>
      <c r="F275" s="117"/>
      <c r="G275" s="117"/>
      <c r="H275" s="118"/>
      <c r="I275" s="65" t="s">
        <v>640</v>
      </c>
      <c r="J275" s="30"/>
      <c r="K275" s="30"/>
      <c r="L275" s="30"/>
      <c r="M275" s="30"/>
    </row>
    <row r="276" spans="1:13" s="68" customFormat="1" ht="17.25" customHeight="1" x14ac:dyDescent="0.35">
      <c r="A276" s="116"/>
      <c r="B276" s="117"/>
      <c r="C276" s="117"/>
      <c r="D276" s="117" t="s">
        <v>36</v>
      </c>
      <c r="E276" s="117">
        <v>1</v>
      </c>
      <c r="F276" s="117">
        <v>2</v>
      </c>
      <c r="G276" s="117"/>
      <c r="H276" s="118"/>
      <c r="I276" s="65" t="s">
        <v>641</v>
      </c>
      <c r="J276" s="30"/>
      <c r="K276" s="30"/>
      <c r="L276" s="30"/>
      <c r="M276" s="30"/>
    </row>
    <row r="277" spans="1:13" s="68" customFormat="1" ht="17.25" customHeight="1" x14ac:dyDescent="0.35">
      <c r="A277" s="116"/>
      <c r="B277" s="117"/>
      <c r="C277" s="117"/>
      <c r="D277" s="117" t="s">
        <v>36</v>
      </c>
      <c r="E277" s="117">
        <v>1</v>
      </c>
      <c r="F277" s="117">
        <v>0</v>
      </c>
      <c r="G277" s="117"/>
      <c r="H277" s="118"/>
      <c r="I277" s="65" t="s">
        <v>642</v>
      </c>
      <c r="J277" s="30"/>
      <c r="K277" s="30"/>
      <c r="L277" s="30"/>
      <c r="M277" s="30"/>
    </row>
    <row r="278" spans="1:13" s="68" customFormat="1" ht="17.25" customHeight="1" x14ac:dyDescent="0.35">
      <c r="A278" s="116"/>
      <c r="B278" s="117"/>
      <c r="C278" s="117"/>
      <c r="D278" s="117" t="s">
        <v>36</v>
      </c>
      <c r="E278" s="117">
        <v>1</v>
      </c>
      <c r="F278" s="117">
        <v>100</v>
      </c>
      <c r="G278" s="117"/>
      <c r="H278" s="118"/>
      <c r="I278" s="65" t="s">
        <v>643</v>
      </c>
      <c r="J278" s="30"/>
      <c r="K278" s="30"/>
      <c r="L278" s="30"/>
      <c r="M278" s="30"/>
    </row>
    <row r="279" spans="1:13" s="68" customFormat="1" ht="17.25" customHeight="1" x14ac:dyDescent="0.35">
      <c r="A279" s="116"/>
      <c r="B279" s="117"/>
      <c r="C279" s="117"/>
      <c r="D279" s="117" t="s">
        <v>36</v>
      </c>
      <c r="E279" s="117">
        <v>1</v>
      </c>
      <c r="F279" s="117">
        <v>40</v>
      </c>
      <c r="G279" s="117"/>
      <c r="H279" s="118"/>
      <c r="I279" s="65" t="s">
        <v>644</v>
      </c>
      <c r="J279" s="30"/>
      <c r="K279" s="30"/>
      <c r="L279" s="30"/>
      <c r="M279" s="30"/>
    </row>
    <row r="280" spans="1:13" s="68" customFormat="1" ht="17.25" customHeight="1" x14ac:dyDescent="0.35">
      <c r="A280" s="116"/>
      <c r="B280" s="117"/>
      <c r="C280" s="117"/>
      <c r="D280" s="117" t="s">
        <v>36</v>
      </c>
      <c r="E280" s="117">
        <v>1</v>
      </c>
      <c r="F280" s="117">
        <v>0</v>
      </c>
      <c r="G280" s="117"/>
      <c r="H280" s="118"/>
      <c r="I280" s="65" t="s">
        <v>645</v>
      </c>
      <c r="J280" s="30"/>
      <c r="K280" s="30"/>
      <c r="L280" s="30"/>
      <c r="M280" s="30"/>
    </row>
    <row r="281" spans="1:13" s="68" customFormat="1" ht="17.25" customHeight="1" x14ac:dyDescent="0.35">
      <c r="A281" s="116"/>
      <c r="B281" s="117"/>
      <c r="C281" s="117"/>
      <c r="D281" s="117" t="s">
        <v>36</v>
      </c>
      <c r="E281" s="117">
        <v>1</v>
      </c>
      <c r="F281" s="117"/>
      <c r="G281" s="117"/>
      <c r="H281" s="118"/>
      <c r="I281" s="65" t="s">
        <v>646</v>
      </c>
      <c r="J281" s="30"/>
      <c r="K281" s="30"/>
      <c r="L281" s="30"/>
      <c r="M281" s="30"/>
    </row>
    <row r="282" spans="1:13" s="68" customFormat="1" ht="17.25" customHeight="1" x14ac:dyDescent="0.35">
      <c r="A282" s="116"/>
      <c r="B282" s="117"/>
      <c r="C282" s="117"/>
      <c r="D282" s="117" t="s">
        <v>36</v>
      </c>
      <c r="E282" s="117">
        <v>1</v>
      </c>
      <c r="F282" s="117"/>
      <c r="G282" s="117"/>
      <c r="H282" s="118"/>
      <c r="I282" s="65" t="s">
        <v>647</v>
      </c>
      <c r="J282" s="30"/>
      <c r="K282" s="30"/>
      <c r="L282" s="30"/>
      <c r="M282" s="30"/>
    </row>
    <row r="283" spans="1:13" s="68" customFormat="1" ht="17.25" customHeight="1" x14ac:dyDescent="0.35">
      <c r="A283" s="116"/>
      <c r="B283" s="117"/>
      <c r="C283" s="117"/>
      <c r="D283" s="117" t="s">
        <v>36</v>
      </c>
      <c r="E283" s="117">
        <v>1</v>
      </c>
      <c r="F283" s="117">
        <v>20</v>
      </c>
      <c r="G283" s="117"/>
      <c r="H283" s="118"/>
      <c r="I283" s="65" t="s">
        <v>648</v>
      </c>
      <c r="J283" s="30"/>
      <c r="K283" s="30"/>
      <c r="L283" s="30"/>
      <c r="M283" s="30"/>
    </row>
    <row r="284" spans="1:13" s="68" customFormat="1" ht="17.25" customHeight="1" x14ac:dyDescent="0.35">
      <c r="A284" s="116"/>
      <c r="B284" s="117"/>
      <c r="C284" s="117"/>
      <c r="D284" s="117" t="s">
        <v>36</v>
      </c>
      <c r="E284" s="117">
        <v>2</v>
      </c>
      <c r="F284" s="117">
        <v>5</v>
      </c>
      <c r="G284" s="117"/>
      <c r="H284" s="118"/>
      <c r="I284" s="65" t="s">
        <v>649</v>
      </c>
      <c r="J284" s="30"/>
      <c r="K284" s="30"/>
      <c r="L284" s="30"/>
      <c r="M284" s="30"/>
    </row>
    <row r="285" spans="1:13" s="68" customFormat="1" ht="17.25" customHeight="1" x14ac:dyDescent="0.35">
      <c r="A285" s="116"/>
      <c r="B285" s="117"/>
      <c r="C285" s="117"/>
      <c r="D285" s="117" t="s">
        <v>36</v>
      </c>
      <c r="E285" s="117">
        <v>2</v>
      </c>
      <c r="F285" s="117">
        <v>60</v>
      </c>
      <c r="G285" s="117"/>
      <c r="H285" s="118"/>
      <c r="I285" s="65" t="s">
        <v>650</v>
      </c>
      <c r="J285" s="30"/>
      <c r="K285" s="30"/>
      <c r="L285" s="30"/>
      <c r="M285" s="30"/>
    </row>
    <row r="286" spans="1:13" s="68" customFormat="1" ht="17.25" customHeight="1" x14ac:dyDescent="0.35">
      <c r="A286" s="116"/>
      <c r="B286" s="117"/>
      <c r="C286" s="117"/>
      <c r="D286" s="117" t="s">
        <v>36</v>
      </c>
      <c r="E286" s="117">
        <v>2</v>
      </c>
      <c r="F286" s="117">
        <v>60</v>
      </c>
      <c r="G286" s="117"/>
      <c r="H286" s="118"/>
      <c r="I286" s="65" t="s">
        <v>651</v>
      </c>
      <c r="J286" s="30"/>
      <c r="K286" s="30"/>
      <c r="L286" s="30"/>
      <c r="M286" s="30"/>
    </row>
    <row r="287" spans="1:13" s="68" customFormat="1" ht="17.25" customHeight="1" x14ac:dyDescent="0.35">
      <c r="A287" s="116"/>
      <c r="B287" s="117"/>
      <c r="C287" s="117"/>
      <c r="D287" s="117" t="s">
        <v>36</v>
      </c>
      <c r="E287" s="117">
        <v>2</v>
      </c>
      <c r="F287" s="117">
        <v>60</v>
      </c>
      <c r="G287" s="117"/>
      <c r="H287" s="118"/>
      <c r="I287" s="65" t="s">
        <v>652</v>
      </c>
      <c r="J287" s="30"/>
      <c r="K287" s="30"/>
      <c r="L287" s="30"/>
      <c r="M287" s="30"/>
    </row>
    <row r="288" spans="1:13" s="30" customFormat="1" ht="19.5" x14ac:dyDescent="0.4">
      <c r="A288" s="116" t="s">
        <v>653</v>
      </c>
      <c r="B288" s="117" t="s">
        <v>653</v>
      </c>
      <c r="C288" s="117"/>
      <c r="D288" s="117" t="s">
        <v>36</v>
      </c>
      <c r="E288" s="117">
        <v>1</v>
      </c>
      <c r="F288" s="117"/>
      <c r="G288" s="117"/>
      <c r="H288" s="118"/>
      <c r="I288" s="63" t="s">
        <v>654</v>
      </c>
    </row>
    <row r="289" spans="1:13" s="30" customFormat="1" ht="19.5" customHeight="1" x14ac:dyDescent="0.4">
      <c r="A289" s="116" t="s">
        <v>653</v>
      </c>
      <c r="B289" s="117" t="s">
        <v>653</v>
      </c>
      <c r="C289" s="117"/>
      <c r="D289" s="117" t="s">
        <v>36</v>
      </c>
      <c r="E289" s="117">
        <v>1</v>
      </c>
      <c r="F289" s="117"/>
      <c r="G289" s="117"/>
      <c r="H289" s="118"/>
      <c r="I289" s="63" t="s">
        <v>655</v>
      </c>
    </row>
    <row r="290" spans="1:13" s="30" customFormat="1" ht="19.5" x14ac:dyDescent="0.4">
      <c r="A290" s="116" t="s">
        <v>653</v>
      </c>
      <c r="B290" s="117" t="s">
        <v>653</v>
      </c>
      <c r="C290" s="117"/>
      <c r="D290" s="117" t="s">
        <v>36</v>
      </c>
      <c r="E290" s="117">
        <v>1</v>
      </c>
      <c r="F290" s="117"/>
      <c r="G290" s="117"/>
      <c r="H290" s="118"/>
      <c r="I290" s="63" t="s">
        <v>656</v>
      </c>
    </row>
    <row r="291" spans="1:13" s="30" customFormat="1" ht="19.5" customHeight="1" x14ac:dyDescent="0.4">
      <c r="A291" s="116" t="s">
        <v>653</v>
      </c>
      <c r="B291" s="117" t="s">
        <v>653</v>
      </c>
      <c r="C291" s="117"/>
      <c r="D291" s="117" t="s">
        <v>36</v>
      </c>
      <c r="E291" s="117">
        <v>2</v>
      </c>
      <c r="F291" s="117" t="s">
        <v>657</v>
      </c>
      <c r="G291" s="117"/>
      <c r="H291" s="118"/>
      <c r="I291" s="63" t="s">
        <v>658</v>
      </c>
    </row>
    <row r="292" spans="1:13" s="30" customFormat="1" ht="19.5" customHeight="1" x14ac:dyDescent="0.4">
      <c r="A292" s="116"/>
      <c r="B292" s="117"/>
      <c r="C292" s="117"/>
      <c r="D292" s="117" t="s">
        <v>36</v>
      </c>
      <c r="E292" s="117">
        <v>1</v>
      </c>
      <c r="F292" s="117">
        <v>3</v>
      </c>
      <c r="G292" s="117"/>
      <c r="H292" s="118"/>
      <c r="I292" s="63" t="s">
        <v>659</v>
      </c>
    </row>
    <row r="293" spans="1:13" s="30" customFormat="1" ht="19.5" customHeight="1" x14ac:dyDescent="0.4">
      <c r="A293" s="116"/>
      <c r="B293" s="117"/>
      <c r="C293" s="117"/>
      <c r="D293" s="117" t="s">
        <v>36</v>
      </c>
      <c r="E293" s="117">
        <v>1</v>
      </c>
      <c r="F293" s="117">
        <v>0</v>
      </c>
      <c r="G293" s="117"/>
      <c r="H293" s="118"/>
      <c r="I293" s="63" t="s">
        <v>660</v>
      </c>
    </row>
    <row r="294" spans="1:13" s="30" customFormat="1" ht="19.5" customHeight="1" x14ac:dyDescent="0.4">
      <c r="A294" s="116"/>
      <c r="B294" s="117"/>
      <c r="C294" s="117"/>
      <c r="D294" s="117" t="s">
        <v>36</v>
      </c>
      <c r="E294" s="117">
        <v>1</v>
      </c>
      <c r="F294" s="117">
        <v>0</v>
      </c>
      <c r="G294" s="117"/>
      <c r="H294" s="118"/>
      <c r="I294" s="63" t="s">
        <v>661</v>
      </c>
    </row>
    <row r="295" spans="1:13" s="30" customFormat="1" ht="19.5" customHeight="1" x14ac:dyDescent="0.4">
      <c r="A295" s="116"/>
      <c r="B295" s="117"/>
      <c r="C295" s="117"/>
      <c r="D295" s="117" t="s">
        <v>36</v>
      </c>
      <c r="E295" s="117">
        <v>4</v>
      </c>
      <c r="F295" s="117">
        <v>46</v>
      </c>
      <c r="G295" s="117"/>
      <c r="H295" s="118"/>
      <c r="I295" s="63" t="s">
        <v>662</v>
      </c>
    </row>
    <row r="296" spans="1:13" s="30" customFormat="1" ht="19.5" customHeight="1" x14ac:dyDescent="0.4">
      <c r="A296" s="116"/>
      <c r="B296" s="117"/>
      <c r="C296" s="117"/>
      <c r="D296" s="117" t="s">
        <v>36</v>
      </c>
      <c r="E296" s="117">
        <v>4</v>
      </c>
      <c r="F296" s="117">
        <v>46</v>
      </c>
      <c r="G296" s="117"/>
      <c r="H296" s="118"/>
      <c r="I296" s="63" t="s">
        <v>663</v>
      </c>
    </row>
    <row r="297" spans="1:13" s="30" customFormat="1" ht="19.5" customHeight="1" x14ac:dyDescent="0.4">
      <c r="A297" s="116"/>
      <c r="B297" s="117"/>
      <c r="C297" s="117"/>
      <c r="D297" s="117" t="s">
        <v>36</v>
      </c>
      <c r="E297" s="117">
        <v>1</v>
      </c>
      <c r="F297" s="117">
        <v>0</v>
      </c>
      <c r="G297" s="117"/>
      <c r="H297" s="118"/>
      <c r="I297" s="63" t="s">
        <v>664</v>
      </c>
    </row>
    <row r="298" spans="1:13" s="30" customFormat="1" ht="19.5" customHeight="1" x14ac:dyDescent="0.4">
      <c r="A298" s="116"/>
      <c r="B298" s="117"/>
      <c r="C298" s="117"/>
      <c r="D298" s="117" t="s">
        <v>36</v>
      </c>
      <c r="E298" s="117">
        <v>484</v>
      </c>
      <c r="F298" s="117"/>
      <c r="G298" s="117"/>
      <c r="H298" s="118"/>
      <c r="I298" s="63" t="s">
        <v>665</v>
      </c>
    </row>
    <row r="299" spans="1:13" s="68" customFormat="1" ht="17.25" customHeight="1" x14ac:dyDescent="0.35">
      <c r="A299" s="116" t="s">
        <v>666</v>
      </c>
      <c r="B299" s="117" t="s">
        <v>667</v>
      </c>
      <c r="C299" s="117" t="s">
        <v>58</v>
      </c>
      <c r="D299" s="117"/>
      <c r="E299" s="117"/>
      <c r="F299" s="117"/>
      <c r="G299" s="136" t="s">
        <v>591</v>
      </c>
      <c r="H299" s="118"/>
      <c r="I299" s="65">
        <v>67314</v>
      </c>
      <c r="J299" s="30"/>
      <c r="K299" s="30"/>
      <c r="L299" s="30"/>
      <c r="M299" s="30"/>
    </row>
    <row r="300" spans="1:13" s="68" customFormat="1" ht="17.25" customHeight="1" x14ac:dyDescent="0.35">
      <c r="A300" s="116"/>
      <c r="B300" s="117"/>
      <c r="C300" s="117"/>
      <c r="D300" s="117" t="s">
        <v>36</v>
      </c>
      <c r="E300" s="117">
        <v>4</v>
      </c>
      <c r="F300" s="117"/>
      <c r="G300" s="117"/>
      <c r="H300" s="118"/>
      <c r="I300" s="65" t="s">
        <v>668</v>
      </c>
      <c r="J300" s="30"/>
      <c r="K300" s="30"/>
      <c r="L300" s="30"/>
      <c r="M300" s="30"/>
    </row>
    <row r="301" spans="1:13" s="68" customFormat="1" ht="17.25" customHeight="1" x14ac:dyDescent="0.35">
      <c r="A301" s="116"/>
      <c r="B301" s="117"/>
      <c r="C301" s="117"/>
      <c r="D301" s="117" t="s">
        <v>36</v>
      </c>
      <c r="E301" s="117">
        <v>4</v>
      </c>
      <c r="F301" s="117"/>
      <c r="G301" s="117"/>
      <c r="H301" s="118"/>
      <c r="I301" s="65" t="s">
        <v>669</v>
      </c>
      <c r="J301" s="30"/>
      <c r="K301" s="30"/>
      <c r="L301" s="30"/>
      <c r="M301" s="30"/>
    </row>
    <row r="302" spans="1:13" s="68" customFormat="1" ht="17.25" customHeight="1" x14ac:dyDescent="0.35">
      <c r="A302" s="116"/>
      <c r="B302" s="117"/>
      <c r="C302" s="117"/>
      <c r="D302" s="117" t="s">
        <v>36</v>
      </c>
      <c r="E302" s="117">
        <v>4</v>
      </c>
      <c r="F302" s="117"/>
      <c r="G302" s="117"/>
      <c r="H302" s="118"/>
      <c r="I302" s="65" t="s">
        <v>670</v>
      </c>
      <c r="J302" s="30"/>
      <c r="K302" s="30"/>
      <c r="L302" s="30"/>
      <c r="M302" s="30"/>
    </row>
    <row r="303" spans="1:13" s="68" customFormat="1" ht="17.25" customHeight="1" x14ac:dyDescent="0.35">
      <c r="A303" s="116"/>
      <c r="B303" s="117"/>
      <c r="C303" s="117"/>
      <c r="D303" s="117" t="s">
        <v>36</v>
      </c>
      <c r="E303" s="117">
        <v>4</v>
      </c>
      <c r="F303" s="117"/>
      <c r="G303" s="117"/>
      <c r="H303" s="118"/>
      <c r="I303" s="65" t="s">
        <v>671</v>
      </c>
      <c r="J303" s="30"/>
      <c r="K303" s="30"/>
      <c r="L303" s="30"/>
      <c r="M303" s="30"/>
    </row>
    <row r="304" spans="1:13" s="68" customFormat="1" ht="17.25" customHeight="1" x14ac:dyDescent="0.35">
      <c r="A304" s="116"/>
      <c r="B304" s="117"/>
      <c r="C304" s="117"/>
      <c r="D304" s="117" t="s">
        <v>36</v>
      </c>
      <c r="E304" s="117">
        <v>1</v>
      </c>
      <c r="F304" s="117"/>
      <c r="G304" s="117"/>
      <c r="H304" s="118"/>
      <c r="I304" s="65" t="s">
        <v>672</v>
      </c>
      <c r="J304" s="30"/>
      <c r="K304" s="30"/>
      <c r="L304" s="30"/>
      <c r="M304" s="30"/>
    </row>
    <row r="305" spans="1:13" s="68" customFormat="1" ht="17.25" customHeight="1" x14ac:dyDescent="0.35">
      <c r="A305" s="116"/>
      <c r="B305" s="117"/>
      <c r="C305" s="117"/>
      <c r="D305" s="117" t="s">
        <v>36</v>
      </c>
      <c r="E305" s="117">
        <v>4</v>
      </c>
      <c r="F305" s="117"/>
      <c r="G305" s="117"/>
      <c r="H305" s="118"/>
      <c r="I305" s="65" t="s">
        <v>673</v>
      </c>
      <c r="J305" s="30"/>
      <c r="K305" s="30"/>
      <c r="L305" s="30"/>
      <c r="M305" s="30"/>
    </row>
    <row r="306" spans="1:13" s="68" customFormat="1" ht="17.25" customHeight="1" x14ac:dyDescent="0.35">
      <c r="A306" s="116"/>
      <c r="B306" s="117"/>
      <c r="C306" s="117"/>
      <c r="D306" s="117" t="s">
        <v>36</v>
      </c>
      <c r="E306" s="117">
        <v>4</v>
      </c>
      <c r="F306" s="117"/>
      <c r="G306" s="117"/>
      <c r="H306" s="118"/>
      <c r="I306" s="65" t="s">
        <v>674</v>
      </c>
      <c r="J306" s="30"/>
      <c r="K306" s="30"/>
      <c r="L306" s="30"/>
      <c r="M306" s="30"/>
    </row>
    <row r="307" spans="1:13" s="68" customFormat="1" ht="17.25" customHeight="1" x14ac:dyDescent="0.35">
      <c r="A307" s="116"/>
      <c r="B307" s="117"/>
      <c r="C307" s="117"/>
      <c r="D307" s="117" t="s">
        <v>36</v>
      </c>
      <c r="E307" s="117">
        <v>4</v>
      </c>
      <c r="F307" s="117"/>
      <c r="G307" s="117"/>
      <c r="H307" s="118"/>
      <c r="I307" s="65" t="s">
        <v>675</v>
      </c>
      <c r="J307" s="30"/>
      <c r="K307" s="30"/>
      <c r="L307" s="30"/>
      <c r="M307" s="30"/>
    </row>
    <row r="308" spans="1:13" s="68" customFormat="1" ht="17.25" customHeight="1" x14ac:dyDescent="0.35">
      <c r="A308" s="116"/>
      <c r="B308" s="117"/>
      <c r="C308" s="117"/>
      <c r="D308" s="117" t="s">
        <v>36</v>
      </c>
      <c r="E308" s="117">
        <v>4</v>
      </c>
      <c r="F308" s="117"/>
      <c r="G308" s="117"/>
      <c r="H308" s="118"/>
      <c r="I308" s="65" t="s">
        <v>676</v>
      </c>
      <c r="J308" s="30"/>
      <c r="K308" s="30"/>
      <c r="L308" s="30"/>
      <c r="M308" s="30"/>
    </row>
    <row r="309" spans="1:13" s="68" customFormat="1" ht="17.25" customHeight="1" x14ac:dyDescent="0.35">
      <c r="A309" s="116"/>
      <c r="B309" s="117"/>
      <c r="C309" s="117"/>
      <c r="D309" s="117" t="s">
        <v>36</v>
      </c>
      <c r="E309" s="117">
        <v>1</v>
      </c>
      <c r="F309" s="117">
        <v>0</v>
      </c>
      <c r="G309" s="117"/>
      <c r="H309" s="118"/>
      <c r="I309" s="65" t="s">
        <v>677</v>
      </c>
      <c r="J309" s="30"/>
      <c r="K309" s="30"/>
      <c r="L309" s="30"/>
      <c r="M309" s="30"/>
    </row>
    <row r="310" spans="1:13" s="68" customFormat="1" ht="17.25" customHeight="1" x14ac:dyDescent="0.35">
      <c r="A310" s="116"/>
      <c r="B310" s="117"/>
      <c r="C310" s="117"/>
      <c r="D310" s="117" t="s">
        <v>37</v>
      </c>
      <c r="E310" s="117">
        <v>128</v>
      </c>
      <c r="F310" s="117"/>
      <c r="G310" s="117"/>
      <c r="H310" s="118"/>
      <c r="I310" s="65" t="s">
        <v>678</v>
      </c>
      <c r="J310" s="30"/>
      <c r="K310" s="30"/>
      <c r="L310" s="30"/>
      <c r="M310" s="30"/>
    </row>
    <row r="311" spans="1:13" s="68" customFormat="1" ht="17.25" customHeight="1" x14ac:dyDescent="0.35">
      <c r="A311" s="116"/>
      <c r="B311" s="117"/>
      <c r="C311" s="117"/>
      <c r="D311" s="117" t="s">
        <v>36</v>
      </c>
      <c r="E311" s="117">
        <v>4</v>
      </c>
      <c r="F311" s="117"/>
      <c r="G311" s="117"/>
      <c r="H311" s="118"/>
      <c r="I311" s="65" t="s">
        <v>679</v>
      </c>
      <c r="J311" s="30"/>
      <c r="K311" s="30"/>
      <c r="L311" s="30"/>
      <c r="M311" s="30"/>
    </row>
    <row r="312" spans="1:13" s="68" customFormat="1" ht="17.25" customHeight="1" x14ac:dyDescent="0.35">
      <c r="A312" s="116"/>
      <c r="B312" s="117"/>
      <c r="C312" s="117"/>
      <c r="D312" s="117" t="s">
        <v>36</v>
      </c>
      <c r="E312" s="117">
        <v>4</v>
      </c>
      <c r="F312" s="117"/>
      <c r="G312" s="117"/>
      <c r="H312" s="118"/>
      <c r="I312" s="65" t="s">
        <v>680</v>
      </c>
      <c r="J312" s="30"/>
      <c r="K312" s="30"/>
      <c r="L312" s="30"/>
      <c r="M312" s="30"/>
    </row>
    <row r="313" spans="1:13" s="68" customFormat="1" ht="17.25" customHeight="1" x14ac:dyDescent="0.35">
      <c r="A313" s="116"/>
      <c r="B313" s="117"/>
      <c r="C313" s="117"/>
      <c r="D313" s="117" t="s">
        <v>36</v>
      </c>
      <c r="E313" s="117">
        <v>1</v>
      </c>
      <c r="F313" s="117"/>
      <c r="G313" s="117"/>
      <c r="H313" s="118"/>
      <c r="I313" s="65" t="s">
        <v>681</v>
      </c>
      <c r="J313" s="30"/>
      <c r="K313" s="30"/>
      <c r="L313" s="30"/>
      <c r="M313" s="30"/>
    </row>
    <row r="314" spans="1:13" s="68" customFormat="1" ht="17.25" customHeight="1" x14ac:dyDescent="0.35">
      <c r="A314" s="116"/>
      <c r="B314" s="117"/>
      <c r="C314" s="117"/>
      <c r="D314" s="117" t="s">
        <v>36</v>
      </c>
      <c r="E314" s="117">
        <v>1</v>
      </c>
      <c r="F314" s="117"/>
      <c r="G314" s="117"/>
      <c r="H314" s="118"/>
      <c r="I314" s="65" t="s">
        <v>682</v>
      </c>
      <c r="J314" s="30"/>
      <c r="K314" s="30"/>
      <c r="L314" s="30"/>
      <c r="M314" s="30"/>
    </row>
    <row r="315" spans="1:13" s="68" customFormat="1" ht="17.25" customHeight="1" x14ac:dyDescent="0.35">
      <c r="A315" s="116" t="s">
        <v>150</v>
      </c>
      <c r="B315" s="117" t="s">
        <v>151</v>
      </c>
      <c r="C315" s="117" t="s">
        <v>58</v>
      </c>
      <c r="D315" s="117"/>
      <c r="E315" s="117"/>
      <c r="F315" s="117"/>
      <c r="G315" s="124" t="s">
        <v>591</v>
      </c>
      <c r="H315" s="118"/>
      <c r="I315" s="65">
        <v>67257</v>
      </c>
      <c r="J315" s="30"/>
      <c r="K315" s="30"/>
      <c r="L315" s="30"/>
      <c r="M315" s="30"/>
    </row>
    <row r="316" spans="1:13" s="68" customFormat="1" ht="17.25" customHeight="1" x14ac:dyDescent="0.35">
      <c r="A316" s="116"/>
      <c r="B316" s="117"/>
      <c r="C316" s="117"/>
      <c r="D316" s="117" t="s">
        <v>36</v>
      </c>
      <c r="E316" s="117">
        <v>1</v>
      </c>
      <c r="F316" s="117">
        <v>0</v>
      </c>
      <c r="G316" s="117"/>
      <c r="H316" s="118"/>
      <c r="I316" s="65" t="s">
        <v>177</v>
      </c>
      <c r="J316" s="30"/>
      <c r="K316" s="30"/>
      <c r="L316" s="30"/>
      <c r="M316" s="30"/>
    </row>
    <row r="317" spans="1:13" s="68" customFormat="1" ht="17.25" customHeight="1" x14ac:dyDescent="0.35">
      <c r="A317" s="116"/>
      <c r="B317" s="117"/>
      <c r="C317" s="117"/>
      <c r="D317" s="117" t="s">
        <v>36</v>
      </c>
      <c r="E317" s="117">
        <v>1</v>
      </c>
      <c r="F317" s="117">
        <v>1</v>
      </c>
      <c r="G317" s="117"/>
      <c r="H317" s="118"/>
      <c r="I317" s="65" t="s">
        <v>178</v>
      </c>
      <c r="J317" s="30"/>
      <c r="K317" s="30"/>
      <c r="L317" s="30"/>
      <c r="M317" s="30"/>
    </row>
    <row r="318" spans="1:13" s="68" customFormat="1" ht="17.25" customHeight="1" x14ac:dyDescent="0.35">
      <c r="A318" s="116"/>
      <c r="B318" s="117"/>
      <c r="C318" s="117"/>
      <c r="D318" s="117" t="s">
        <v>36</v>
      </c>
      <c r="E318" s="117">
        <v>1</v>
      </c>
      <c r="F318" s="117">
        <v>1</v>
      </c>
      <c r="G318" s="117"/>
      <c r="H318" s="118"/>
      <c r="I318" s="65" t="s">
        <v>179</v>
      </c>
      <c r="J318" s="30"/>
      <c r="K318" s="30"/>
      <c r="L318" s="30"/>
      <c r="M318" s="30"/>
    </row>
    <row r="319" spans="1:13" s="68" customFormat="1" ht="17.25" customHeight="1" x14ac:dyDescent="0.35">
      <c r="A319" s="116"/>
      <c r="B319" s="117"/>
      <c r="C319" s="117"/>
      <c r="D319" s="117" t="s">
        <v>37</v>
      </c>
      <c r="E319" s="117">
        <v>128</v>
      </c>
      <c r="F319" s="117" t="s">
        <v>180</v>
      </c>
      <c r="G319" s="117"/>
      <c r="H319" s="118"/>
      <c r="I319" s="65" t="s">
        <v>181</v>
      </c>
      <c r="J319" s="30"/>
      <c r="K319" s="30"/>
      <c r="L319" s="30"/>
      <c r="M319" s="30"/>
    </row>
    <row r="320" spans="1:13" s="68" customFormat="1" ht="17.25" customHeight="1" x14ac:dyDescent="0.35">
      <c r="A320" s="116"/>
      <c r="B320" s="117"/>
      <c r="C320" s="117"/>
      <c r="D320" s="117" t="s">
        <v>36</v>
      </c>
      <c r="E320" s="117">
        <v>2</v>
      </c>
      <c r="F320" s="117">
        <v>1800</v>
      </c>
      <c r="G320" s="117"/>
      <c r="H320" s="118"/>
      <c r="I320" s="65" t="s">
        <v>182</v>
      </c>
      <c r="J320" s="30"/>
      <c r="K320" s="30"/>
      <c r="L320" s="30"/>
      <c r="M320" s="30"/>
    </row>
    <row r="321" spans="1:13" s="68" customFormat="1" ht="17.25" customHeight="1" x14ac:dyDescent="0.35">
      <c r="A321" s="116"/>
      <c r="B321" s="117"/>
      <c r="C321" s="117"/>
      <c r="D321" s="117" t="s">
        <v>36</v>
      </c>
      <c r="E321" s="117">
        <v>2</v>
      </c>
      <c r="F321" s="117">
        <v>600</v>
      </c>
      <c r="G321" s="117"/>
      <c r="H321" s="118"/>
      <c r="I321" s="65" t="s">
        <v>183</v>
      </c>
      <c r="J321" s="30"/>
      <c r="K321" s="30"/>
      <c r="L321" s="30"/>
      <c r="M321" s="30"/>
    </row>
    <row r="322" spans="1:13" s="68" customFormat="1" ht="17.25" customHeight="1" x14ac:dyDescent="0.35">
      <c r="A322" s="116"/>
      <c r="B322" s="117"/>
      <c r="C322" s="117"/>
      <c r="D322" s="117" t="s">
        <v>36</v>
      </c>
      <c r="E322" s="117">
        <v>1</v>
      </c>
      <c r="F322" s="117">
        <v>1</v>
      </c>
      <c r="G322" s="117"/>
      <c r="H322" s="118"/>
      <c r="I322" s="65" t="s">
        <v>184</v>
      </c>
      <c r="J322" s="30"/>
      <c r="K322" s="30"/>
      <c r="L322" s="30"/>
      <c r="M322" s="30"/>
    </row>
    <row r="323" spans="1:13" s="68" customFormat="1" ht="17.25" customHeight="1" x14ac:dyDescent="0.35">
      <c r="A323" s="116"/>
      <c r="B323" s="117"/>
      <c r="C323" s="117"/>
      <c r="D323" s="117" t="s">
        <v>37</v>
      </c>
      <c r="E323" s="117">
        <v>128</v>
      </c>
      <c r="F323" s="117" t="s">
        <v>1006</v>
      </c>
      <c r="G323" s="117"/>
      <c r="H323" s="118"/>
      <c r="I323" s="65" t="s">
        <v>185</v>
      </c>
      <c r="J323" s="30"/>
      <c r="K323" s="30"/>
      <c r="L323" s="30"/>
      <c r="M323" s="30"/>
    </row>
    <row r="324" spans="1:13" s="68" customFormat="1" ht="17.25" customHeight="1" x14ac:dyDescent="0.35">
      <c r="A324" s="116"/>
      <c r="B324" s="117"/>
      <c r="C324" s="117"/>
      <c r="D324" s="117" t="s">
        <v>36</v>
      </c>
      <c r="E324" s="117">
        <v>1</v>
      </c>
      <c r="F324" s="117">
        <v>1</v>
      </c>
      <c r="G324" s="117"/>
      <c r="H324" s="118"/>
      <c r="I324" s="65" t="s">
        <v>186</v>
      </c>
      <c r="J324" s="30"/>
      <c r="K324" s="30"/>
      <c r="L324" s="30"/>
      <c r="M324" s="30"/>
    </row>
    <row r="325" spans="1:13" s="68" customFormat="1" ht="17.25" customHeight="1" x14ac:dyDescent="0.35">
      <c r="A325" s="116"/>
      <c r="B325" s="117"/>
      <c r="C325" s="117"/>
      <c r="D325" s="117" t="s">
        <v>36</v>
      </c>
      <c r="E325" s="117">
        <v>2</v>
      </c>
      <c r="F325" s="117">
        <v>1800</v>
      </c>
      <c r="G325" s="117"/>
      <c r="H325" s="118"/>
      <c r="I325" s="65" t="s">
        <v>187</v>
      </c>
      <c r="J325" s="30"/>
      <c r="K325" s="30"/>
      <c r="L325" s="30"/>
      <c r="M325" s="30"/>
    </row>
    <row r="326" spans="1:13" s="68" customFormat="1" ht="17.25" customHeight="1" x14ac:dyDescent="0.35">
      <c r="A326" s="116"/>
      <c r="B326" s="117"/>
      <c r="C326" s="117"/>
      <c r="D326" s="117" t="s">
        <v>36</v>
      </c>
      <c r="E326" s="117">
        <v>1</v>
      </c>
      <c r="F326" s="117">
        <v>0</v>
      </c>
      <c r="G326" s="117"/>
      <c r="H326" s="118"/>
      <c r="I326" s="65" t="s">
        <v>188</v>
      </c>
      <c r="J326" s="30"/>
      <c r="K326" s="30"/>
      <c r="L326" s="30"/>
      <c r="M326" s="30"/>
    </row>
    <row r="327" spans="1:13" s="68" customFormat="1" ht="17.25" customHeight="1" x14ac:dyDescent="0.35">
      <c r="A327" s="116"/>
      <c r="B327" s="117"/>
      <c r="C327" s="117"/>
      <c r="D327" s="117" t="s">
        <v>36</v>
      </c>
      <c r="E327" s="117">
        <v>1</v>
      </c>
      <c r="F327" s="117">
        <v>1</v>
      </c>
      <c r="G327" s="117"/>
      <c r="H327" s="118"/>
      <c r="I327" s="65" t="s">
        <v>189</v>
      </c>
      <c r="J327" s="30"/>
      <c r="K327" s="30"/>
      <c r="L327" s="30"/>
      <c r="M327" s="30"/>
    </row>
    <row r="328" spans="1:13" s="68" customFormat="1" ht="17.25" customHeight="1" x14ac:dyDescent="0.35">
      <c r="A328" s="116"/>
      <c r="B328" s="117"/>
      <c r="C328" s="117"/>
      <c r="D328" s="117" t="s">
        <v>37</v>
      </c>
      <c r="E328" s="117">
        <v>128</v>
      </c>
      <c r="F328" s="117"/>
      <c r="G328" s="117"/>
      <c r="H328" s="118"/>
      <c r="I328" s="65" t="s">
        <v>190</v>
      </c>
      <c r="J328" s="30"/>
      <c r="K328" s="30"/>
      <c r="L328" s="30"/>
      <c r="M328" s="30"/>
    </row>
    <row r="329" spans="1:13" s="68" customFormat="1" ht="17.25" customHeight="1" x14ac:dyDescent="0.35">
      <c r="A329" s="116" t="s">
        <v>683</v>
      </c>
      <c r="B329" s="117" t="s">
        <v>684</v>
      </c>
      <c r="C329" s="117" t="s">
        <v>58</v>
      </c>
      <c r="D329" s="117"/>
      <c r="E329" s="117"/>
      <c r="F329" s="117"/>
      <c r="G329" s="136" t="s">
        <v>591</v>
      </c>
      <c r="H329" s="118"/>
      <c r="I329" s="65">
        <v>65959</v>
      </c>
      <c r="J329" s="30"/>
      <c r="K329" s="30"/>
      <c r="L329" s="30"/>
      <c r="M329" s="30"/>
    </row>
    <row r="330" spans="1:13" s="68" customFormat="1" ht="17.25" customHeight="1" x14ac:dyDescent="0.35">
      <c r="A330" s="116"/>
      <c r="B330" s="117"/>
      <c r="C330" s="117"/>
      <c r="D330" s="117" t="s">
        <v>36</v>
      </c>
      <c r="E330" s="117">
        <v>2</v>
      </c>
      <c r="F330" s="117">
        <v>16</v>
      </c>
      <c r="G330" s="117"/>
      <c r="H330" s="118"/>
      <c r="I330" s="65" t="s">
        <v>685</v>
      </c>
      <c r="J330" s="30"/>
      <c r="K330" s="30"/>
      <c r="L330" s="30"/>
      <c r="M330" s="30"/>
    </row>
    <row r="331" spans="1:13" s="68" customFormat="1" ht="17.25" customHeight="1" x14ac:dyDescent="0.35">
      <c r="A331" s="116" t="s">
        <v>686</v>
      </c>
      <c r="B331" s="117" t="s">
        <v>330</v>
      </c>
      <c r="C331" s="117" t="s">
        <v>58</v>
      </c>
      <c r="D331" s="117"/>
      <c r="E331" s="117"/>
      <c r="F331" s="117"/>
      <c r="G331" s="136" t="s">
        <v>591</v>
      </c>
      <c r="H331" s="118"/>
      <c r="I331" s="65">
        <v>69750</v>
      </c>
      <c r="J331" s="30"/>
      <c r="K331" s="30"/>
      <c r="L331" s="30"/>
      <c r="M331" s="30"/>
    </row>
    <row r="332" spans="1:13" s="68" customFormat="1" ht="17.25" customHeight="1" x14ac:dyDescent="0.35">
      <c r="A332" s="116"/>
      <c r="B332" s="117"/>
      <c r="C332" s="117"/>
      <c r="D332" s="117" t="s">
        <v>36</v>
      </c>
      <c r="E332" s="117">
        <v>1</v>
      </c>
      <c r="F332" s="117">
        <v>0</v>
      </c>
      <c r="G332" s="117"/>
      <c r="H332" s="118"/>
      <c r="I332" s="65" t="s">
        <v>211</v>
      </c>
      <c r="J332" s="30"/>
      <c r="K332" s="30"/>
      <c r="L332" s="30"/>
      <c r="M332" s="30"/>
    </row>
    <row r="333" spans="1:13" s="68" customFormat="1" ht="17.25" customHeight="1" x14ac:dyDescent="0.35">
      <c r="A333" s="116"/>
      <c r="B333" s="117"/>
      <c r="C333" s="117"/>
      <c r="D333" s="117" t="s">
        <v>36</v>
      </c>
      <c r="E333" s="117">
        <v>1</v>
      </c>
      <c r="F333" s="117">
        <v>0</v>
      </c>
      <c r="G333" s="117"/>
      <c r="H333" s="118"/>
      <c r="I333" s="65" t="s">
        <v>331</v>
      </c>
      <c r="J333" s="30"/>
      <c r="K333" s="30"/>
      <c r="L333" s="30"/>
      <c r="M333" s="30"/>
    </row>
    <row r="334" spans="1:13" s="68" customFormat="1" ht="17.25" customHeight="1" x14ac:dyDescent="0.35">
      <c r="A334" s="116"/>
      <c r="B334" s="117"/>
      <c r="C334" s="117"/>
      <c r="D334" s="117" t="s">
        <v>36</v>
      </c>
      <c r="E334" s="117">
        <v>1</v>
      </c>
      <c r="F334" s="117">
        <v>2</v>
      </c>
      <c r="G334" s="117"/>
      <c r="H334" s="118"/>
      <c r="I334" s="65" t="s">
        <v>332</v>
      </c>
      <c r="J334" s="30"/>
      <c r="K334" s="30"/>
      <c r="L334" s="30"/>
      <c r="M334" s="30"/>
    </row>
    <row r="335" spans="1:13" s="68" customFormat="1" ht="17.25" customHeight="1" x14ac:dyDescent="0.35">
      <c r="A335" s="116"/>
      <c r="B335" s="117"/>
      <c r="C335" s="117"/>
      <c r="D335" s="117" t="s">
        <v>36</v>
      </c>
      <c r="E335" s="117">
        <v>509</v>
      </c>
      <c r="F335" s="117">
        <v>0</v>
      </c>
      <c r="G335" s="117"/>
      <c r="H335" s="118"/>
      <c r="I335" s="65" t="s">
        <v>222</v>
      </c>
      <c r="J335" s="30"/>
      <c r="K335" s="30"/>
      <c r="L335" s="30"/>
      <c r="M335" s="30"/>
    </row>
    <row r="336" spans="1:13" s="68" customFormat="1" ht="17.25" customHeight="1" x14ac:dyDescent="0.35">
      <c r="A336" s="116" t="s">
        <v>687</v>
      </c>
      <c r="B336" s="117" t="s">
        <v>688</v>
      </c>
      <c r="C336" s="117" t="s">
        <v>58</v>
      </c>
      <c r="D336" s="117"/>
      <c r="E336" s="117"/>
      <c r="F336" s="117"/>
      <c r="G336" s="136" t="s">
        <v>591</v>
      </c>
      <c r="H336" s="118"/>
      <c r="I336" s="65">
        <v>70202</v>
      </c>
      <c r="J336" s="30"/>
      <c r="K336" s="30"/>
      <c r="L336" s="30"/>
      <c r="M336" s="30"/>
    </row>
    <row r="337" spans="1:13" s="68" customFormat="1" ht="17.25" customHeight="1" x14ac:dyDescent="0.35">
      <c r="A337" s="116"/>
      <c r="B337" s="117"/>
      <c r="C337" s="117"/>
      <c r="D337" s="117" t="s">
        <v>36</v>
      </c>
      <c r="E337" s="117">
        <v>1</v>
      </c>
      <c r="F337" s="117">
        <v>2</v>
      </c>
      <c r="G337" s="117"/>
      <c r="H337" s="118"/>
      <c r="I337" s="65" t="s">
        <v>689</v>
      </c>
      <c r="J337" s="30"/>
      <c r="K337" s="30"/>
      <c r="L337" s="30"/>
      <c r="M337" s="30"/>
    </row>
    <row r="338" spans="1:13" s="68" customFormat="1" ht="17.25" customHeight="1" x14ac:dyDescent="0.35">
      <c r="A338" s="116" t="s">
        <v>191</v>
      </c>
      <c r="B338" s="117" t="s">
        <v>192</v>
      </c>
      <c r="C338" s="117" t="s">
        <v>58</v>
      </c>
      <c r="D338" s="117"/>
      <c r="E338" s="117"/>
      <c r="F338" s="117"/>
      <c r="G338" s="136" t="s">
        <v>591</v>
      </c>
      <c r="H338" s="118"/>
      <c r="I338" s="65">
        <v>65955</v>
      </c>
      <c r="J338" s="30"/>
      <c r="K338" s="30"/>
      <c r="L338" s="30"/>
      <c r="M338" s="30"/>
    </row>
    <row r="339" spans="1:13" s="68" customFormat="1" ht="17.25" customHeight="1" x14ac:dyDescent="0.35">
      <c r="A339" s="116"/>
      <c r="B339" s="117"/>
      <c r="C339" s="117"/>
      <c r="D339" s="117" t="s">
        <v>36</v>
      </c>
      <c r="E339" s="117">
        <v>1</v>
      </c>
      <c r="F339" s="117">
        <v>1</v>
      </c>
      <c r="G339" s="117"/>
      <c r="H339" s="118"/>
      <c r="I339" s="65" t="s">
        <v>690</v>
      </c>
      <c r="J339" s="30"/>
      <c r="K339" s="30"/>
      <c r="L339" s="30"/>
      <c r="M339" s="30"/>
    </row>
    <row r="340" spans="1:13" s="68" customFormat="1" ht="17.25" customHeight="1" x14ac:dyDescent="0.35">
      <c r="A340" s="116" t="s">
        <v>193</v>
      </c>
      <c r="B340" s="117" t="s">
        <v>194</v>
      </c>
      <c r="C340" s="117" t="s">
        <v>58</v>
      </c>
      <c r="D340" s="117"/>
      <c r="E340" s="117"/>
      <c r="F340" s="117"/>
      <c r="G340" s="136" t="s">
        <v>591</v>
      </c>
      <c r="H340" s="118"/>
      <c r="I340" s="65">
        <v>65957</v>
      </c>
      <c r="J340" s="30"/>
      <c r="K340" s="30"/>
      <c r="L340" s="30"/>
      <c r="M340" s="30"/>
    </row>
    <row r="341" spans="1:13" s="68" customFormat="1" ht="17.25" customHeight="1" x14ac:dyDescent="0.35">
      <c r="A341" s="116"/>
      <c r="B341" s="117"/>
      <c r="C341" s="117"/>
      <c r="D341" s="117" t="s">
        <v>36</v>
      </c>
      <c r="E341" s="117">
        <v>1</v>
      </c>
      <c r="F341" s="117">
        <v>1</v>
      </c>
      <c r="G341" s="117"/>
      <c r="H341" s="118"/>
      <c r="I341" s="65" t="s">
        <v>691</v>
      </c>
      <c r="J341" s="30"/>
      <c r="K341" s="30"/>
      <c r="L341" s="30"/>
      <c r="M341" s="30"/>
    </row>
    <row r="342" spans="1:13" s="68" customFormat="1" ht="17.25" customHeight="1" x14ac:dyDescent="0.35">
      <c r="A342" s="116" t="s">
        <v>338</v>
      </c>
      <c r="B342" s="117" t="s">
        <v>339</v>
      </c>
      <c r="C342" s="117" t="s">
        <v>58</v>
      </c>
      <c r="D342" s="117"/>
      <c r="E342" s="117"/>
      <c r="F342" s="117"/>
      <c r="G342" s="136" t="s">
        <v>591</v>
      </c>
      <c r="H342" s="118"/>
      <c r="I342" s="65">
        <v>67194</v>
      </c>
      <c r="J342" s="30"/>
      <c r="K342" s="30"/>
      <c r="L342" s="30"/>
      <c r="M342" s="30"/>
    </row>
    <row r="343" spans="1:13" s="68" customFormat="1" ht="17.25" customHeight="1" x14ac:dyDescent="0.35">
      <c r="A343" s="116"/>
      <c r="B343" s="117"/>
      <c r="C343" s="117"/>
      <c r="D343" s="117" t="s">
        <v>36</v>
      </c>
      <c r="E343" s="117">
        <v>4</v>
      </c>
      <c r="F343" s="117">
        <v>20</v>
      </c>
      <c r="G343" s="117"/>
      <c r="H343" s="118"/>
      <c r="I343" s="65" t="s">
        <v>340</v>
      </c>
      <c r="J343" s="30"/>
      <c r="K343" s="30"/>
      <c r="L343" s="30"/>
      <c r="M343" s="30"/>
    </row>
    <row r="344" spans="1:13" s="68" customFormat="1" ht="17.25" customHeight="1" x14ac:dyDescent="0.35">
      <c r="A344" s="116" t="s">
        <v>341</v>
      </c>
      <c r="B344" s="117" t="s">
        <v>342</v>
      </c>
      <c r="C344" s="117" t="s">
        <v>58</v>
      </c>
      <c r="D344" s="117"/>
      <c r="E344" s="117"/>
      <c r="F344" s="117"/>
      <c r="G344" s="136" t="s">
        <v>591</v>
      </c>
      <c r="H344" s="118"/>
      <c r="I344" s="65">
        <v>67195</v>
      </c>
      <c r="J344" s="30"/>
      <c r="K344" s="30"/>
      <c r="L344" s="30"/>
      <c r="M344" s="30"/>
    </row>
    <row r="345" spans="1:13" s="68" customFormat="1" ht="17.25" customHeight="1" x14ac:dyDescent="0.35">
      <c r="A345" s="116"/>
      <c r="B345" s="117"/>
      <c r="C345" s="117"/>
      <c r="D345" s="117" t="s">
        <v>36</v>
      </c>
      <c r="E345" s="117">
        <v>4</v>
      </c>
      <c r="F345" s="117">
        <v>5</v>
      </c>
      <c r="G345" s="117"/>
      <c r="H345" s="118"/>
      <c r="I345" s="65" t="s">
        <v>692</v>
      </c>
      <c r="J345" s="30"/>
      <c r="K345" s="30"/>
      <c r="L345" s="30"/>
      <c r="M345" s="30"/>
    </row>
    <row r="346" spans="1:13" s="68" customFormat="1" ht="17.25" customHeight="1" x14ac:dyDescent="0.35">
      <c r="A346" s="116" t="s">
        <v>159</v>
      </c>
      <c r="B346" s="117" t="s">
        <v>160</v>
      </c>
      <c r="C346" s="117" t="s">
        <v>58</v>
      </c>
      <c r="D346" s="117"/>
      <c r="E346" s="117"/>
      <c r="F346" s="117"/>
      <c r="G346" s="136" t="s">
        <v>591</v>
      </c>
      <c r="H346" s="118"/>
      <c r="I346" s="65">
        <v>67199</v>
      </c>
      <c r="J346" s="30"/>
      <c r="K346" s="30"/>
      <c r="L346" s="30"/>
      <c r="M346" s="30"/>
    </row>
    <row r="347" spans="1:13" s="68" customFormat="1" ht="17.25" customHeight="1" x14ac:dyDescent="0.35">
      <c r="A347" s="116"/>
      <c r="B347" s="117"/>
      <c r="C347" s="117"/>
      <c r="D347" s="117" t="s">
        <v>36</v>
      </c>
      <c r="E347" s="117">
        <v>1</v>
      </c>
      <c r="F347" s="117">
        <v>1</v>
      </c>
      <c r="G347" s="117"/>
      <c r="H347" s="118"/>
      <c r="I347" s="65" t="s">
        <v>693</v>
      </c>
      <c r="J347" s="30"/>
      <c r="K347" s="30"/>
      <c r="L347" s="30"/>
      <c r="M347" s="30"/>
    </row>
    <row r="348" spans="1:13" s="68" customFormat="1" ht="17.25" customHeight="1" x14ac:dyDescent="0.35">
      <c r="A348" s="116" t="s">
        <v>205</v>
      </c>
      <c r="B348" s="117" t="s">
        <v>206</v>
      </c>
      <c r="C348" s="117" t="s">
        <v>58</v>
      </c>
      <c r="D348" s="117"/>
      <c r="E348" s="117"/>
      <c r="F348" s="117"/>
      <c r="G348" s="136" t="s">
        <v>591</v>
      </c>
      <c r="H348" s="118"/>
      <c r="I348" s="65">
        <v>67280</v>
      </c>
      <c r="J348" s="30"/>
      <c r="K348" s="30"/>
      <c r="L348" s="30"/>
      <c r="M348" s="30"/>
    </row>
    <row r="349" spans="1:13" s="68" customFormat="1" ht="17.25" customHeight="1" x14ac:dyDescent="0.35">
      <c r="A349" s="116"/>
      <c r="B349" s="117"/>
      <c r="C349" s="117"/>
      <c r="D349" s="117" t="s">
        <v>36</v>
      </c>
      <c r="E349" s="117">
        <v>4</v>
      </c>
      <c r="F349" s="117">
        <v>20000</v>
      </c>
      <c r="G349" s="117"/>
      <c r="H349" s="118"/>
      <c r="I349" s="65" t="s">
        <v>694</v>
      </c>
      <c r="J349" s="30"/>
      <c r="K349" s="30"/>
      <c r="L349" s="30"/>
      <c r="M349" s="30"/>
    </row>
    <row r="350" spans="1:13" s="68" customFormat="1" ht="17.25" customHeight="1" x14ac:dyDescent="0.35">
      <c r="A350" s="116" t="s">
        <v>207</v>
      </c>
      <c r="B350" s="117" t="s">
        <v>208</v>
      </c>
      <c r="C350" s="117" t="s">
        <v>58</v>
      </c>
      <c r="D350" s="117"/>
      <c r="E350" s="117"/>
      <c r="F350" s="117"/>
      <c r="G350" s="136" t="s">
        <v>591</v>
      </c>
      <c r="H350" s="118"/>
      <c r="I350" s="65">
        <v>67281</v>
      </c>
      <c r="J350" s="30"/>
      <c r="K350" s="30"/>
      <c r="L350" s="30"/>
      <c r="M350" s="30"/>
    </row>
    <row r="351" spans="1:13" s="68" customFormat="1" ht="17.25" customHeight="1" x14ac:dyDescent="0.35">
      <c r="A351" s="116"/>
      <c r="B351" s="117"/>
      <c r="C351" s="117"/>
      <c r="D351" s="117" t="s">
        <v>36</v>
      </c>
      <c r="E351" s="117">
        <v>4</v>
      </c>
      <c r="F351" s="117">
        <v>20000</v>
      </c>
      <c r="G351" s="117"/>
      <c r="H351" s="118"/>
      <c r="I351" s="65" t="s">
        <v>695</v>
      </c>
      <c r="J351" s="30"/>
      <c r="K351" s="30"/>
      <c r="L351" s="30"/>
      <c r="M351" s="30"/>
    </row>
    <row r="352" spans="1:13" s="68" customFormat="1" ht="17.25" customHeight="1" x14ac:dyDescent="0.35">
      <c r="A352" s="116" t="s">
        <v>537</v>
      </c>
      <c r="B352" s="117" t="s">
        <v>538</v>
      </c>
      <c r="C352" s="117" t="s">
        <v>58</v>
      </c>
      <c r="D352" s="117"/>
      <c r="E352" s="117"/>
      <c r="F352" s="117"/>
      <c r="G352" s="136" t="s">
        <v>591</v>
      </c>
      <c r="H352" s="118"/>
      <c r="I352" s="65">
        <v>67282</v>
      </c>
      <c r="J352" s="30"/>
      <c r="K352" s="30"/>
      <c r="L352" s="30"/>
      <c r="M352" s="30"/>
    </row>
    <row r="353" spans="1:13" s="68" customFormat="1" ht="17.25" customHeight="1" x14ac:dyDescent="0.35">
      <c r="A353" s="116"/>
      <c r="B353" s="117"/>
      <c r="C353" s="117"/>
      <c r="D353" s="117" t="s">
        <v>36</v>
      </c>
      <c r="E353" s="117">
        <v>4</v>
      </c>
      <c r="F353" s="117">
        <v>20</v>
      </c>
      <c r="G353" s="117"/>
      <c r="H353" s="118"/>
      <c r="I353" s="65" t="s">
        <v>696</v>
      </c>
      <c r="J353" s="30"/>
      <c r="K353" s="30"/>
      <c r="L353" s="30"/>
      <c r="M353" s="30"/>
    </row>
    <row r="354" spans="1:13" s="68" customFormat="1" ht="17.25" customHeight="1" x14ac:dyDescent="0.35">
      <c r="A354" s="116" t="s">
        <v>195</v>
      </c>
      <c r="B354" s="117" t="s">
        <v>196</v>
      </c>
      <c r="C354" s="117" t="s">
        <v>58</v>
      </c>
      <c r="D354" s="117"/>
      <c r="E354" s="117"/>
      <c r="F354" s="117"/>
      <c r="G354" s="136" t="s">
        <v>591</v>
      </c>
      <c r="H354" s="118"/>
      <c r="I354" s="65">
        <v>65964</v>
      </c>
      <c r="J354" s="30"/>
      <c r="K354" s="30"/>
      <c r="L354" s="30"/>
      <c r="M354" s="30"/>
    </row>
    <row r="355" spans="1:13" s="68" customFormat="1" ht="17.25" customHeight="1" x14ac:dyDescent="0.35">
      <c r="A355" s="116"/>
      <c r="B355" s="117"/>
      <c r="C355" s="117"/>
      <c r="D355" s="117" t="s">
        <v>36</v>
      </c>
      <c r="E355" s="117">
        <v>1</v>
      </c>
      <c r="F355" s="117">
        <v>1</v>
      </c>
      <c r="G355" s="117"/>
      <c r="H355" s="118"/>
      <c r="I355" s="65" t="s">
        <v>697</v>
      </c>
      <c r="J355" s="30"/>
      <c r="K355" s="30"/>
      <c r="L355" s="30"/>
      <c r="M355" s="30"/>
    </row>
    <row r="356" spans="1:13" s="68" customFormat="1" ht="17.25" customHeight="1" x14ac:dyDescent="0.35">
      <c r="A356" s="116" t="s">
        <v>698</v>
      </c>
      <c r="B356" s="117" t="s">
        <v>699</v>
      </c>
      <c r="C356" s="117" t="s">
        <v>58</v>
      </c>
      <c r="D356" s="117"/>
      <c r="E356" s="117"/>
      <c r="F356" s="117"/>
      <c r="G356" s="136" t="s">
        <v>591</v>
      </c>
      <c r="H356" s="118"/>
      <c r="I356" s="65">
        <v>65960</v>
      </c>
      <c r="J356" s="30"/>
      <c r="K356" s="30"/>
      <c r="L356" s="30"/>
      <c r="M356" s="30"/>
    </row>
    <row r="357" spans="1:13" s="68" customFormat="1" ht="17.25" customHeight="1" x14ac:dyDescent="0.35">
      <c r="A357" s="116"/>
      <c r="B357" s="117"/>
      <c r="C357" s="117"/>
      <c r="D357" s="117" t="s">
        <v>36</v>
      </c>
      <c r="E357" s="117">
        <v>1</v>
      </c>
      <c r="F357" s="117">
        <v>1</v>
      </c>
      <c r="G357" s="117"/>
      <c r="H357" s="118"/>
      <c r="I357" s="65" t="s">
        <v>700</v>
      </c>
      <c r="J357" s="30"/>
      <c r="K357" s="30"/>
      <c r="L357" s="30"/>
      <c r="M357" s="30"/>
    </row>
    <row r="358" spans="1:13" s="68" customFormat="1" ht="17.25" customHeight="1" x14ac:dyDescent="0.35">
      <c r="A358" s="116" t="s">
        <v>203</v>
      </c>
      <c r="B358" s="117" t="s">
        <v>204</v>
      </c>
      <c r="C358" s="117" t="s">
        <v>58</v>
      </c>
      <c r="D358" s="117"/>
      <c r="E358" s="117"/>
      <c r="F358" s="117"/>
      <c r="G358" s="136" t="s">
        <v>591</v>
      </c>
      <c r="H358" s="118"/>
      <c r="I358" s="65">
        <v>66031</v>
      </c>
      <c r="J358" s="30"/>
      <c r="K358" s="30"/>
      <c r="L358" s="30"/>
      <c r="M358" s="30"/>
    </row>
    <row r="359" spans="1:13" s="68" customFormat="1" ht="17.25" customHeight="1" x14ac:dyDescent="0.35">
      <c r="A359" s="116"/>
      <c r="B359" s="117"/>
      <c r="C359" s="117"/>
      <c r="D359" s="117" t="s">
        <v>36</v>
      </c>
      <c r="E359" s="117">
        <v>4</v>
      </c>
      <c r="F359" s="117">
        <v>0</v>
      </c>
      <c r="G359" s="117"/>
      <c r="H359" s="118"/>
      <c r="I359" s="65" t="s">
        <v>701</v>
      </c>
      <c r="J359" s="30"/>
      <c r="K359" s="30"/>
      <c r="L359" s="30"/>
      <c r="M359" s="30"/>
    </row>
    <row r="360" spans="1:13" s="68" customFormat="1" ht="17.25" customHeight="1" x14ac:dyDescent="0.35">
      <c r="A360" s="116" t="s">
        <v>197</v>
      </c>
      <c r="B360" s="117" t="s">
        <v>198</v>
      </c>
      <c r="C360" s="117" t="s">
        <v>58</v>
      </c>
      <c r="D360" s="117"/>
      <c r="E360" s="117"/>
      <c r="F360" s="117"/>
      <c r="G360" s="136" t="s">
        <v>591</v>
      </c>
      <c r="H360" s="118"/>
      <c r="I360" s="65">
        <v>67239</v>
      </c>
      <c r="J360" s="30"/>
      <c r="K360" s="30"/>
      <c r="L360" s="30"/>
      <c r="M360" s="30"/>
    </row>
    <row r="361" spans="1:13" s="68" customFormat="1" ht="17.25" customHeight="1" x14ac:dyDescent="0.35">
      <c r="A361" s="116"/>
      <c r="B361" s="117"/>
      <c r="C361" s="117"/>
      <c r="D361" s="117" t="s">
        <v>36</v>
      </c>
      <c r="E361" s="117">
        <v>4</v>
      </c>
      <c r="F361" s="117">
        <v>0</v>
      </c>
      <c r="G361" s="117"/>
      <c r="H361" s="118"/>
      <c r="I361" s="65" t="s">
        <v>702</v>
      </c>
      <c r="J361" s="30"/>
      <c r="K361" s="30"/>
      <c r="L361" s="30"/>
      <c r="M361" s="30"/>
    </row>
    <row r="362" spans="1:13" s="68" customFormat="1" ht="17.25" customHeight="1" x14ac:dyDescent="0.35">
      <c r="A362" s="116" t="s">
        <v>199</v>
      </c>
      <c r="B362" s="117" t="s">
        <v>200</v>
      </c>
      <c r="C362" s="117" t="s">
        <v>58</v>
      </c>
      <c r="D362" s="117"/>
      <c r="E362" s="117"/>
      <c r="F362" s="117"/>
      <c r="G362" s="136" t="s">
        <v>591</v>
      </c>
      <c r="H362" s="118"/>
      <c r="I362" s="65">
        <v>67240</v>
      </c>
      <c r="J362" s="30"/>
      <c r="K362" s="30"/>
      <c r="L362" s="30"/>
      <c r="M362" s="30"/>
    </row>
    <row r="363" spans="1:13" s="68" customFormat="1" ht="17.25" customHeight="1" x14ac:dyDescent="0.35">
      <c r="A363" s="116"/>
      <c r="B363" s="117"/>
      <c r="C363" s="117"/>
      <c r="D363" s="117" t="s">
        <v>36</v>
      </c>
      <c r="E363" s="117">
        <v>1</v>
      </c>
      <c r="F363" s="117">
        <v>0</v>
      </c>
      <c r="G363" s="117"/>
      <c r="H363" s="118"/>
      <c r="I363" s="65" t="s">
        <v>703</v>
      </c>
      <c r="J363" s="30"/>
      <c r="K363" s="30"/>
      <c r="L363" s="30"/>
      <c r="M363" s="30"/>
    </row>
    <row r="364" spans="1:13" s="68" customFormat="1" ht="17.25" customHeight="1" x14ac:dyDescent="0.35">
      <c r="A364" s="116" t="s">
        <v>201</v>
      </c>
      <c r="B364" s="117" t="s">
        <v>202</v>
      </c>
      <c r="C364" s="117" t="s">
        <v>58</v>
      </c>
      <c r="D364" s="117"/>
      <c r="E364" s="117"/>
      <c r="F364" s="117"/>
      <c r="G364" s="136" t="s">
        <v>591</v>
      </c>
      <c r="H364" s="118"/>
      <c r="I364" s="65">
        <v>67241</v>
      </c>
      <c r="J364" s="30"/>
      <c r="K364" s="30"/>
      <c r="L364" s="30"/>
      <c r="M364" s="30"/>
    </row>
    <row r="365" spans="1:13" s="68" customFormat="1" ht="17.25" customHeight="1" x14ac:dyDescent="0.35">
      <c r="A365" s="116"/>
      <c r="B365" s="117"/>
      <c r="C365" s="117"/>
      <c r="D365" s="117" t="s">
        <v>36</v>
      </c>
      <c r="E365" s="117">
        <v>1</v>
      </c>
      <c r="F365" s="117">
        <v>0</v>
      </c>
      <c r="G365" s="117"/>
      <c r="H365" s="118"/>
      <c r="I365" s="65" t="s">
        <v>704</v>
      </c>
      <c r="J365" s="30"/>
      <c r="K365" s="30"/>
      <c r="L365" s="30"/>
      <c r="M365" s="30"/>
    </row>
    <row r="366" spans="1:13" s="68" customFormat="1" ht="17.25" customHeight="1" x14ac:dyDescent="0.35">
      <c r="A366" s="116" t="s">
        <v>705</v>
      </c>
      <c r="B366" s="117" t="s">
        <v>706</v>
      </c>
      <c r="C366" s="117" t="s">
        <v>58</v>
      </c>
      <c r="D366" s="117"/>
      <c r="E366" s="117"/>
      <c r="F366" s="117"/>
      <c r="G366" s="136" t="s">
        <v>591</v>
      </c>
      <c r="H366" s="118"/>
      <c r="I366" s="65">
        <v>70213</v>
      </c>
      <c r="J366" s="30"/>
      <c r="K366" s="30"/>
      <c r="L366" s="30"/>
      <c r="M366" s="30"/>
    </row>
    <row r="367" spans="1:13" s="68" customFormat="1" ht="17.25" customHeight="1" x14ac:dyDescent="0.35">
      <c r="A367" s="116"/>
      <c r="B367" s="117"/>
      <c r="C367" s="117"/>
      <c r="D367" s="117" t="s">
        <v>36</v>
      </c>
      <c r="E367" s="117">
        <v>2</v>
      </c>
      <c r="F367" s="117">
        <v>-115</v>
      </c>
      <c r="G367" s="117"/>
      <c r="H367" s="118"/>
      <c r="I367" s="65" t="s">
        <v>705</v>
      </c>
      <c r="J367" s="30"/>
      <c r="K367" s="30"/>
      <c r="L367" s="30"/>
      <c r="M367" s="30"/>
    </row>
    <row r="368" spans="1:13" s="68" customFormat="1" ht="17.25" customHeight="1" x14ac:dyDescent="0.35">
      <c r="A368" s="116" t="s">
        <v>891</v>
      </c>
      <c r="B368" s="117" t="s">
        <v>892</v>
      </c>
      <c r="C368" s="117" t="s">
        <v>58</v>
      </c>
      <c r="D368" s="117"/>
      <c r="E368" s="117"/>
      <c r="F368" s="117"/>
      <c r="G368" s="117" t="s">
        <v>591</v>
      </c>
      <c r="H368" s="118"/>
      <c r="I368" s="65">
        <v>73713</v>
      </c>
      <c r="J368" s="30"/>
      <c r="K368" s="30"/>
      <c r="L368" s="30"/>
      <c r="M368" s="30"/>
    </row>
    <row r="369" spans="1:13" s="68" customFormat="1" ht="17.25" customHeight="1" x14ac:dyDescent="0.35">
      <c r="A369" s="116"/>
      <c r="B369" s="117"/>
      <c r="C369" s="117"/>
      <c r="D369" s="117" t="s">
        <v>36</v>
      </c>
      <c r="E369" s="117">
        <v>1</v>
      </c>
      <c r="F369" s="117">
        <v>3</v>
      </c>
      <c r="G369" s="117"/>
      <c r="H369" s="118"/>
      <c r="I369" s="65" t="s">
        <v>173</v>
      </c>
      <c r="J369" s="30"/>
      <c r="K369" s="30"/>
      <c r="L369" s="30"/>
      <c r="M369" s="30"/>
    </row>
    <row r="370" spans="1:13" s="68" customFormat="1" ht="17.25" customHeight="1" x14ac:dyDescent="0.35">
      <c r="A370" s="116"/>
      <c r="B370" s="117"/>
      <c r="C370" s="117"/>
      <c r="D370" s="117" t="s">
        <v>36</v>
      </c>
      <c r="E370" s="117">
        <v>4</v>
      </c>
      <c r="F370" s="117">
        <v>0</v>
      </c>
      <c r="G370" s="117"/>
      <c r="H370" s="118"/>
      <c r="I370" s="65" t="s">
        <v>893</v>
      </c>
      <c r="J370" s="30"/>
      <c r="K370" s="30"/>
      <c r="L370" s="30"/>
      <c r="M370" s="30"/>
    </row>
    <row r="371" spans="1:13" s="68" customFormat="1" ht="17.25" customHeight="1" x14ac:dyDescent="0.35">
      <c r="A371" s="116"/>
      <c r="B371" s="117"/>
      <c r="C371" s="117"/>
      <c r="D371" s="117" t="s">
        <v>36</v>
      </c>
      <c r="E371" s="117">
        <v>4</v>
      </c>
      <c r="F371" s="117">
        <v>0</v>
      </c>
      <c r="G371" s="117"/>
      <c r="H371" s="118"/>
      <c r="I371" s="65" t="s">
        <v>894</v>
      </c>
      <c r="J371" s="30"/>
      <c r="K371" s="30"/>
      <c r="L371" s="30"/>
      <c r="M371" s="30"/>
    </row>
    <row r="372" spans="1:13" s="68" customFormat="1" ht="17.25" customHeight="1" x14ac:dyDescent="0.35">
      <c r="A372" s="116"/>
      <c r="B372" s="117"/>
      <c r="C372" s="117"/>
      <c r="D372" s="117" t="s">
        <v>36</v>
      </c>
      <c r="E372" s="117">
        <v>4</v>
      </c>
      <c r="F372" s="117">
        <v>0</v>
      </c>
      <c r="G372" s="117"/>
      <c r="H372" s="118"/>
      <c r="I372" s="65" t="s">
        <v>895</v>
      </c>
      <c r="J372" s="30"/>
      <c r="K372" s="30"/>
      <c r="L372" s="30"/>
      <c r="M372" s="30"/>
    </row>
    <row r="373" spans="1:13" s="68" customFormat="1" ht="17.25" customHeight="1" x14ac:dyDescent="0.35">
      <c r="A373" s="116"/>
      <c r="B373" s="117"/>
      <c r="C373" s="117"/>
      <c r="D373" s="117" t="s">
        <v>36</v>
      </c>
      <c r="E373" s="117">
        <v>1</v>
      </c>
      <c r="F373" s="117">
        <v>0</v>
      </c>
      <c r="G373" s="117"/>
      <c r="H373" s="118"/>
      <c r="I373" s="65" t="s">
        <v>896</v>
      </c>
      <c r="J373" s="30"/>
      <c r="K373" s="30"/>
      <c r="L373" s="30"/>
      <c r="M373" s="30"/>
    </row>
    <row r="374" spans="1:13" s="68" customFormat="1" ht="17.25" customHeight="1" x14ac:dyDescent="0.35">
      <c r="A374" s="116"/>
      <c r="B374" s="117"/>
      <c r="C374" s="117"/>
      <c r="D374" s="117" t="s">
        <v>36</v>
      </c>
      <c r="E374" s="117">
        <v>1</v>
      </c>
      <c r="F374" s="117">
        <v>0</v>
      </c>
      <c r="G374" s="117"/>
      <c r="H374" s="118"/>
      <c r="I374" s="65" t="s">
        <v>1007</v>
      </c>
      <c r="J374" s="30"/>
      <c r="K374" s="30"/>
      <c r="L374" s="30"/>
      <c r="M374" s="30"/>
    </row>
    <row r="375" spans="1:13" s="68" customFormat="1" ht="17.25" customHeight="1" x14ac:dyDescent="0.35">
      <c r="A375" s="116"/>
      <c r="B375" s="117"/>
      <c r="C375" s="117"/>
      <c r="D375" s="117" t="s">
        <v>36</v>
      </c>
      <c r="E375" s="117">
        <v>1</v>
      </c>
      <c r="F375" s="117">
        <v>0</v>
      </c>
      <c r="G375" s="117"/>
      <c r="H375" s="118"/>
      <c r="I375" s="65" t="s">
        <v>1008</v>
      </c>
      <c r="J375" s="30"/>
      <c r="K375" s="30"/>
      <c r="L375" s="30"/>
      <c r="M375" s="30"/>
    </row>
    <row r="376" spans="1:13" s="68" customFormat="1" ht="17.25" customHeight="1" x14ac:dyDescent="0.35">
      <c r="A376" s="116"/>
      <c r="B376" s="117"/>
      <c r="C376" s="117"/>
      <c r="D376" s="117" t="s">
        <v>36</v>
      </c>
      <c r="E376" s="117">
        <v>4</v>
      </c>
      <c r="F376" s="117">
        <v>0</v>
      </c>
      <c r="G376" s="117"/>
      <c r="H376" s="118"/>
      <c r="I376" s="65" t="s">
        <v>1009</v>
      </c>
      <c r="J376" s="30"/>
      <c r="K376" s="30"/>
      <c r="L376" s="30"/>
      <c r="M376" s="30"/>
    </row>
    <row r="377" spans="1:13" s="68" customFormat="1" ht="17.25" customHeight="1" x14ac:dyDescent="0.35">
      <c r="A377" s="116"/>
      <c r="B377" s="117"/>
      <c r="C377" s="117"/>
      <c r="D377" s="117" t="s">
        <v>36</v>
      </c>
      <c r="E377" s="117">
        <v>4</v>
      </c>
      <c r="F377" s="117">
        <v>0</v>
      </c>
      <c r="G377" s="117"/>
      <c r="H377" s="118"/>
      <c r="I377" s="65" t="s">
        <v>1010</v>
      </c>
      <c r="J377" s="30"/>
      <c r="K377" s="30"/>
      <c r="L377" s="30"/>
      <c r="M377" s="30"/>
    </row>
    <row r="378" spans="1:13" s="68" customFormat="1" ht="17.25" customHeight="1" x14ac:dyDescent="0.35">
      <c r="A378" s="116"/>
      <c r="B378" s="117"/>
      <c r="C378" s="117"/>
      <c r="D378" s="117" t="s">
        <v>37</v>
      </c>
      <c r="E378" s="117">
        <v>32</v>
      </c>
      <c r="F378" s="117">
        <v>0</v>
      </c>
      <c r="G378" s="117"/>
      <c r="H378" s="118"/>
      <c r="I378" s="65" t="s">
        <v>1011</v>
      </c>
      <c r="J378" s="30"/>
      <c r="K378" s="30"/>
      <c r="L378" s="30"/>
      <c r="M378" s="30"/>
    </row>
    <row r="379" spans="1:13" s="68" customFormat="1" ht="17.25" customHeight="1" x14ac:dyDescent="0.35">
      <c r="A379" s="116"/>
      <c r="B379" s="117"/>
      <c r="C379" s="117"/>
      <c r="D379" s="117" t="s">
        <v>36</v>
      </c>
      <c r="E379" s="117">
        <v>4</v>
      </c>
      <c r="F379" s="117">
        <v>0</v>
      </c>
      <c r="G379" s="117"/>
      <c r="H379" s="118"/>
      <c r="I379" s="65" t="s">
        <v>1012</v>
      </c>
      <c r="J379" s="30"/>
      <c r="K379" s="30"/>
      <c r="L379" s="30"/>
      <c r="M379" s="30"/>
    </row>
    <row r="380" spans="1:13" s="68" customFormat="1" ht="17.25" customHeight="1" x14ac:dyDescent="0.35">
      <c r="A380" s="116"/>
      <c r="B380" s="117"/>
      <c r="C380" s="117"/>
      <c r="D380" s="117" t="s">
        <v>36</v>
      </c>
      <c r="E380" s="117">
        <v>4</v>
      </c>
      <c r="F380" s="117">
        <v>0</v>
      </c>
      <c r="G380" s="117"/>
      <c r="H380" s="118"/>
      <c r="I380" s="65" t="s">
        <v>1013</v>
      </c>
      <c r="J380" s="30"/>
      <c r="K380" s="30"/>
      <c r="L380" s="30"/>
      <c r="M380" s="30"/>
    </row>
    <row r="381" spans="1:13" s="68" customFormat="1" ht="17.25" customHeight="1" x14ac:dyDescent="0.35">
      <c r="A381" s="116"/>
      <c r="B381" s="117"/>
      <c r="C381" s="117"/>
      <c r="D381" s="117" t="s">
        <v>36</v>
      </c>
      <c r="E381" s="117">
        <v>4</v>
      </c>
      <c r="F381" s="117">
        <v>0</v>
      </c>
      <c r="G381" s="117"/>
      <c r="H381" s="118"/>
      <c r="I381" s="65" t="s">
        <v>1014</v>
      </c>
      <c r="J381" s="30"/>
      <c r="K381" s="30"/>
      <c r="L381" s="30"/>
      <c r="M381" s="30"/>
    </row>
    <row r="382" spans="1:13" s="68" customFormat="1" ht="17.25" customHeight="1" x14ac:dyDescent="0.35">
      <c r="A382" s="116"/>
      <c r="B382" s="117"/>
      <c r="C382" s="117"/>
      <c r="D382" s="117" t="s">
        <v>36</v>
      </c>
      <c r="E382" s="117">
        <v>4</v>
      </c>
      <c r="F382" s="117">
        <v>0</v>
      </c>
      <c r="G382" s="117"/>
      <c r="H382" s="118"/>
      <c r="I382" s="65" t="s">
        <v>1015</v>
      </c>
      <c r="J382" s="30"/>
      <c r="K382" s="30"/>
      <c r="L382" s="30"/>
      <c r="M382" s="30"/>
    </row>
    <row r="383" spans="1:13" s="68" customFormat="1" ht="17.25" customHeight="1" x14ac:dyDescent="0.35">
      <c r="A383" s="116"/>
      <c r="B383" s="117"/>
      <c r="C383" s="117"/>
      <c r="D383" s="117" t="s">
        <v>36</v>
      </c>
      <c r="E383" s="117">
        <v>4</v>
      </c>
      <c r="F383" s="117">
        <v>0</v>
      </c>
      <c r="G383" s="117"/>
      <c r="H383" s="118"/>
      <c r="I383" s="65" t="s">
        <v>1016</v>
      </c>
      <c r="J383" s="30"/>
      <c r="K383" s="30"/>
      <c r="L383" s="30"/>
      <c r="M383" s="30"/>
    </row>
    <row r="384" spans="1:13" s="68" customFormat="1" ht="17.25" customHeight="1" x14ac:dyDescent="0.35">
      <c r="A384" s="116"/>
      <c r="B384" s="117"/>
      <c r="C384" s="117"/>
      <c r="D384" s="117" t="s">
        <v>36</v>
      </c>
      <c r="E384" s="117">
        <v>4</v>
      </c>
      <c r="F384" s="117">
        <v>0</v>
      </c>
      <c r="G384" s="117"/>
      <c r="H384" s="118"/>
      <c r="I384" s="65" t="s">
        <v>1017</v>
      </c>
      <c r="J384" s="30"/>
      <c r="K384" s="30"/>
      <c r="L384" s="30"/>
      <c r="M384" s="30"/>
    </row>
    <row r="385" spans="1:13" s="68" customFormat="1" ht="17.25" customHeight="1" x14ac:dyDescent="0.35">
      <c r="A385" s="116"/>
      <c r="B385" s="117"/>
      <c r="C385" s="117"/>
      <c r="D385" s="117" t="s">
        <v>36</v>
      </c>
      <c r="E385" s="117">
        <v>4</v>
      </c>
      <c r="F385" s="117">
        <v>0</v>
      </c>
      <c r="G385" s="117"/>
      <c r="H385" s="118"/>
      <c r="I385" s="65" t="s">
        <v>1018</v>
      </c>
      <c r="J385" s="30"/>
      <c r="K385" s="30"/>
      <c r="L385" s="30"/>
      <c r="M385" s="30"/>
    </row>
    <row r="386" spans="1:13" s="68" customFormat="1" ht="17.25" customHeight="1" x14ac:dyDescent="0.35">
      <c r="A386" s="116"/>
      <c r="B386" s="117"/>
      <c r="C386" s="117"/>
      <c r="D386" s="117" t="s">
        <v>36</v>
      </c>
      <c r="E386" s="117">
        <v>4</v>
      </c>
      <c r="F386" s="117">
        <v>0</v>
      </c>
      <c r="G386" s="117"/>
      <c r="H386" s="118"/>
      <c r="I386" s="65" t="s">
        <v>1019</v>
      </c>
      <c r="J386" s="30"/>
      <c r="K386" s="30"/>
      <c r="L386" s="30"/>
      <c r="M386" s="30"/>
    </row>
    <row r="387" spans="1:13" s="68" customFormat="1" ht="17.25" customHeight="1" x14ac:dyDescent="0.35">
      <c r="A387" s="116"/>
      <c r="B387" s="117"/>
      <c r="C387" s="117"/>
      <c r="D387" s="117" t="s">
        <v>36</v>
      </c>
      <c r="E387" s="117">
        <v>4</v>
      </c>
      <c r="F387" s="117">
        <v>0</v>
      </c>
      <c r="G387" s="117"/>
      <c r="H387" s="118"/>
      <c r="I387" s="65" t="s">
        <v>1020</v>
      </c>
      <c r="J387" s="30"/>
      <c r="K387" s="30"/>
      <c r="L387" s="30"/>
      <c r="M387" s="30"/>
    </row>
    <row r="388" spans="1:13" s="68" customFormat="1" ht="17.25" customHeight="1" x14ac:dyDescent="0.35">
      <c r="A388" s="116"/>
      <c r="B388" s="117"/>
      <c r="C388" s="117"/>
      <c r="D388" s="117" t="s">
        <v>37</v>
      </c>
      <c r="E388" s="117">
        <v>35</v>
      </c>
      <c r="F388" s="117"/>
      <c r="G388" s="117"/>
      <c r="H388" s="118"/>
      <c r="I388" s="65" t="s">
        <v>222</v>
      </c>
      <c r="J388" s="30"/>
      <c r="K388" s="30"/>
      <c r="L388" s="30"/>
      <c r="M388" s="30"/>
    </row>
    <row r="389" spans="1:13" s="68" customFormat="1" ht="17.25" customHeight="1" x14ac:dyDescent="0.35">
      <c r="A389" s="116" t="s">
        <v>707</v>
      </c>
      <c r="B389" s="117" t="s">
        <v>708</v>
      </c>
      <c r="C389" s="117" t="s">
        <v>58</v>
      </c>
      <c r="D389" s="117"/>
      <c r="E389" s="117"/>
      <c r="F389" s="117"/>
      <c r="G389" s="117" t="s">
        <v>591</v>
      </c>
      <c r="H389" s="118"/>
      <c r="I389" s="100">
        <v>70291</v>
      </c>
      <c r="J389" s="30"/>
      <c r="K389" s="30"/>
      <c r="L389" s="30"/>
      <c r="M389" s="30"/>
    </row>
    <row r="390" spans="1:13" s="68" customFormat="1" ht="17.25" customHeight="1" x14ac:dyDescent="0.35">
      <c r="A390" s="116"/>
      <c r="B390" s="117"/>
      <c r="C390" s="117"/>
      <c r="D390" s="117" t="s">
        <v>36</v>
      </c>
      <c r="E390" s="117">
        <v>1</v>
      </c>
      <c r="F390" s="117">
        <v>2</v>
      </c>
      <c r="G390" s="117"/>
      <c r="H390" s="118"/>
      <c r="I390" s="100" t="s">
        <v>211</v>
      </c>
      <c r="J390" s="30"/>
      <c r="K390" s="30"/>
      <c r="L390" s="30"/>
      <c r="M390" s="30"/>
    </row>
    <row r="391" spans="1:13" s="68" customFormat="1" ht="17.25" customHeight="1" x14ac:dyDescent="0.35">
      <c r="A391" s="116"/>
      <c r="B391" s="117"/>
      <c r="C391" s="117"/>
      <c r="D391" s="117" t="s">
        <v>36</v>
      </c>
      <c r="E391" s="117">
        <v>1</v>
      </c>
      <c r="F391" s="117">
        <v>1</v>
      </c>
      <c r="G391" s="117"/>
      <c r="H391" s="118"/>
      <c r="I391" s="100" t="s">
        <v>709</v>
      </c>
      <c r="J391" s="30"/>
      <c r="K391" s="30"/>
      <c r="L391" s="30"/>
      <c r="M391" s="30"/>
    </row>
    <row r="392" spans="1:13" s="68" customFormat="1" ht="17.25" customHeight="1" x14ac:dyDescent="0.35">
      <c r="A392" s="116"/>
      <c r="B392" s="117"/>
      <c r="C392" s="117"/>
      <c r="D392" s="117" t="s">
        <v>36</v>
      </c>
      <c r="E392" s="117">
        <v>1</v>
      </c>
      <c r="F392" s="117">
        <v>0</v>
      </c>
      <c r="G392" s="117"/>
      <c r="H392" s="118"/>
      <c r="I392" s="100" t="s">
        <v>710</v>
      </c>
      <c r="J392" s="30"/>
      <c r="K392" s="30"/>
      <c r="L392" s="30"/>
      <c r="M392" s="30"/>
    </row>
    <row r="393" spans="1:13" s="68" customFormat="1" ht="17.25" customHeight="1" x14ac:dyDescent="0.35">
      <c r="A393" s="116"/>
      <c r="B393" s="117"/>
      <c r="C393" s="117"/>
      <c r="D393" s="117" t="s">
        <v>36</v>
      </c>
      <c r="E393" s="117">
        <v>2</v>
      </c>
      <c r="F393" s="117">
        <v>0</v>
      </c>
      <c r="G393" s="117"/>
      <c r="H393" s="118"/>
      <c r="I393" s="100" t="s">
        <v>711</v>
      </c>
      <c r="J393" s="30"/>
      <c r="K393" s="30"/>
      <c r="L393" s="30"/>
      <c r="M393" s="30"/>
    </row>
    <row r="394" spans="1:13" s="68" customFormat="1" ht="17.25" customHeight="1" x14ac:dyDescent="0.35">
      <c r="A394" s="116"/>
      <c r="B394" s="117"/>
      <c r="C394" s="117"/>
      <c r="D394" s="117" t="s">
        <v>36</v>
      </c>
      <c r="E394" s="117">
        <v>1</v>
      </c>
      <c r="F394" s="117">
        <v>0</v>
      </c>
      <c r="G394" s="117"/>
      <c r="H394" s="118"/>
      <c r="I394" s="100" t="s">
        <v>712</v>
      </c>
      <c r="J394" s="30"/>
      <c r="K394" s="30"/>
      <c r="L394" s="30"/>
      <c r="M394" s="30"/>
    </row>
    <row r="395" spans="1:13" s="68" customFormat="1" ht="17.25" customHeight="1" x14ac:dyDescent="0.35">
      <c r="A395" s="116"/>
      <c r="B395" s="117"/>
      <c r="C395" s="117"/>
      <c r="D395" s="117" t="s">
        <v>36</v>
      </c>
      <c r="E395" s="117">
        <v>1</v>
      </c>
      <c r="F395" s="117">
        <v>0</v>
      </c>
      <c r="G395" s="117"/>
      <c r="H395" s="118"/>
      <c r="I395" s="100" t="s">
        <v>713</v>
      </c>
      <c r="J395" s="30"/>
      <c r="K395" s="30"/>
      <c r="L395" s="30"/>
      <c r="M395" s="30"/>
    </row>
    <row r="396" spans="1:13" s="68" customFormat="1" ht="17.25" customHeight="1" x14ac:dyDescent="0.35">
      <c r="A396" s="116"/>
      <c r="B396" s="117"/>
      <c r="C396" s="117"/>
      <c r="D396" s="117" t="s">
        <v>36</v>
      </c>
      <c r="E396" s="117">
        <v>1</v>
      </c>
      <c r="F396" s="117">
        <v>0</v>
      </c>
      <c r="G396" s="117"/>
      <c r="H396" s="118"/>
      <c r="I396" s="100" t="s">
        <v>714</v>
      </c>
      <c r="J396" s="30"/>
      <c r="K396" s="30"/>
      <c r="L396" s="30"/>
      <c r="M396" s="30"/>
    </row>
    <row r="397" spans="1:13" s="68" customFormat="1" ht="17.25" customHeight="1" x14ac:dyDescent="0.35">
      <c r="A397" s="116"/>
      <c r="B397" s="117"/>
      <c r="C397" s="117"/>
      <c r="D397" s="117" t="s">
        <v>36</v>
      </c>
      <c r="E397" s="117">
        <v>4</v>
      </c>
      <c r="F397" s="117">
        <v>0</v>
      </c>
      <c r="G397" s="117"/>
      <c r="H397" s="118"/>
      <c r="I397" s="100" t="s">
        <v>715</v>
      </c>
      <c r="J397" s="30"/>
      <c r="K397" s="30"/>
      <c r="L397" s="30"/>
      <c r="M397" s="30"/>
    </row>
    <row r="398" spans="1:13" s="68" customFormat="1" ht="17.25" customHeight="1" x14ac:dyDescent="0.35">
      <c r="A398" s="116"/>
      <c r="B398" s="117"/>
      <c r="C398" s="117"/>
      <c r="D398" s="117" t="s">
        <v>36</v>
      </c>
      <c r="E398" s="117">
        <v>2</v>
      </c>
      <c r="F398" s="117">
        <v>0</v>
      </c>
      <c r="G398" s="117"/>
      <c r="H398" s="118"/>
      <c r="I398" s="100" t="s">
        <v>716</v>
      </c>
      <c r="J398" s="30"/>
      <c r="K398" s="30"/>
      <c r="L398" s="30"/>
      <c r="M398" s="30"/>
    </row>
    <row r="399" spans="1:13" s="68" customFormat="1" ht="17.25" customHeight="1" x14ac:dyDescent="0.35">
      <c r="A399" s="116"/>
      <c r="B399" s="117"/>
      <c r="C399" s="117"/>
      <c r="D399" s="117" t="s">
        <v>36</v>
      </c>
      <c r="E399" s="117">
        <v>2</v>
      </c>
      <c r="F399" s="117">
        <v>0</v>
      </c>
      <c r="G399" s="117"/>
      <c r="H399" s="118"/>
      <c r="I399" s="100" t="s">
        <v>717</v>
      </c>
      <c r="J399" s="30"/>
      <c r="K399" s="30"/>
      <c r="L399" s="30"/>
      <c r="M399" s="30"/>
    </row>
    <row r="400" spans="1:13" s="68" customFormat="1" ht="17.25" customHeight="1" x14ac:dyDescent="0.35">
      <c r="A400" s="116"/>
      <c r="B400" s="117"/>
      <c r="C400" s="117"/>
      <c r="D400" s="117" t="s">
        <v>36</v>
      </c>
      <c r="E400" s="117">
        <v>2</v>
      </c>
      <c r="F400" s="117">
        <v>0</v>
      </c>
      <c r="G400" s="117"/>
      <c r="H400" s="118"/>
      <c r="I400" s="100" t="s">
        <v>718</v>
      </c>
      <c r="J400" s="30"/>
      <c r="K400" s="30"/>
      <c r="L400" s="30"/>
      <c r="M400" s="30"/>
    </row>
    <row r="401" spans="1:13" s="68" customFormat="1" ht="17.25" customHeight="1" x14ac:dyDescent="0.35">
      <c r="A401" s="116"/>
      <c r="B401" s="117"/>
      <c r="C401" s="117"/>
      <c r="D401" s="117" t="s">
        <v>36</v>
      </c>
      <c r="E401" s="117">
        <v>1</v>
      </c>
      <c r="F401" s="117">
        <v>0</v>
      </c>
      <c r="G401" s="117"/>
      <c r="H401" s="118"/>
      <c r="I401" s="100" t="s">
        <v>719</v>
      </c>
      <c r="J401" s="30"/>
      <c r="K401" s="30"/>
      <c r="L401" s="30"/>
      <c r="M401" s="30"/>
    </row>
    <row r="402" spans="1:13" s="68" customFormat="1" ht="17.25" customHeight="1" x14ac:dyDescent="0.35">
      <c r="A402" s="116"/>
      <c r="B402" s="117"/>
      <c r="C402" s="117"/>
      <c r="D402" s="117" t="s">
        <v>36</v>
      </c>
      <c r="E402" s="117">
        <v>1</v>
      </c>
      <c r="F402" s="117">
        <v>0</v>
      </c>
      <c r="G402" s="117"/>
      <c r="H402" s="118"/>
      <c r="I402" s="100" t="s">
        <v>720</v>
      </c>
      <c r="J402" s="30"/>
      <c r="K402" s="30"/>
      <c r="L402" s="30"/>
      <c r="M402" s="30"/>
    </row>
    <row r="403" spans="1:13" s="68" customFormat="1" ht="17.25" customHeight="1" x14ac:dyDescent="0.35">
      <c r="A403" s="116"/>
      <c r="B403" s="117"/>
      <c r="C403" s="117"/>
      <c r="D403" s="117" t="s">
        <v>36</v>
      </c>
      <c r="E403" s="117">
        <v>1</v>
      </c>
      <c r="F403" s="117">
        <v>0</v>
      </c>
      <c r="G403" s="117"/>
      <c r="H403" s="118"/>
      <c r="I403" s="100" t="s">
        <v>721</v>
      </c>
      <c r="J403" s="30"/>
      <c r="K403" s="30"/>
      <c r="L403" s="30"/>
      <c r="M403" s="30"/>
    </row>
    <row r="404" spans="1:13" s="68" customFormat="1" ht="17.25" customHeight="1" x14ac:dyDescent="0.35">
      <c r="A404" s="116"/>
      <c r="B404" s="117"/>
      <c r="C404" s="117"/>
      <c r="D404" s="117" t="s">
        <v>36</v>
      </c>
      <c r="E404" s="117">
        <v>2</v>
      </c>
      <c r="F404" s="117">
        <v>0</v>
      </c>
      <c r="G404" s="117"/>
      <c r="H404" s="118"/>
      <c r="I404" s="100" t="s">
        <v>722</v>
      </c>
      <c r="J404" s="30"/>
      <c r="K404" s="30"/>
      <c r="L404" s="30"/>
      <c r="M404" s="30"/>
    </row>
    <row r="405" spans="1:13" s="68" customFormat="1" ht="17.25" customHeight="1" x14ac:dyDescent="0.35">
      <c r="A405" s="116"/>
      <c r="B405" s="117"/>
      <c r="C405" s="117"/>
      <c r="D405" s="117" t="s">
        <v>36</v>
      </c>
      <c r="E405" s="117">
        <v>2</v>
      </c>
      <c r="F405" s="117">
        <v>0</v>
      </c>
      <c r="G405" s="117"/>
      <c r="H405" s="118"/>
      <c r="I405" s="100" t="s">
        <v>723</v>
      </c>
      <c r="J405" s="30"/>
      <c r="K405" s="30"/>
      <c r="L405" s="30"/>
      <c r="M405" s="30"/>
    </row>
    <row r="406" spans="1:13" s="68" customFormat="1" ht="17.25" customHeight="1" x14ac:dyDescent="0.35">
      <c r="A406" s="116"/>
      <c r="B406" s="117"/>
      <c r="C406" s="117"/>
      <c r="D406" s="117" t="s">
        <v>36</v>
      </c>
      <c r="E406" s="117">
        <v>1</v>
      </c>
      <c r="F406" s="117">
        <v>0</v>
      </c>
      <c r="G406" s="117"/>
      <c r="H406" s="118"/>
      <c r="I406" s="100" t="s">
        <v>724</v>
      </c>
      <c r="J406" s="30"/>
      <c r="K406" s="30"/>
      <c r="L406" s="30"/>
      <c r="M406" s="30"/>
    </row>
    <row r="407" spans="1:13" s="68" customFormat="1" ht="17.25" customHeight="1" x14ac:dyDescent="0.35">
      <c r="A407" s="116"/>
      <c r="B407" s="117"/>
      <c r="C407" s="117"/>
      <c r="D407" s="117" t="s">
        <v>36</v>
      </c>
      <c r="E407" s="117">
        <v>2</v>
      </c>
      <c r="F407" s="117">
        <v>0</v>
      </c>
      <c r="G407" s="117"/>
      <c r="H407" s="118"/>
      <c r="I407" s="100" t="s">
        <v>725</v>
      </c>
      <c r="J407" s="30"/>
      <c r="K407" s="30"/>
      <c r="L407" s="30"/>
      <c r="M407" s="30"/>
    </row>
    <row r="408" spans="1:13" s="68" customFormat="1" ht="17.25" customHeight="1" x14ac:dyDescent="0.35">
      <c r="A408" s="116"/>
      <c r="B408" s="117"/>
      <c r="C408" s="117"/>
      <c r="D408" s="117" t="s">
        <v>36</v>
      </c>
      <c r="E408" s="117">
        <v>2</v>
      </c>
      <c r="F408" s="117">
        <v>0</v>
      </c>
      <c r="G408" s="117"/>
      <c r="H408" s="118"/>
      <c r="I408" s="100" t="s">
        <v>726</v>
      </c>
      <c r="J408" s="30"/>
      <c r="K408" s="30"/>
      <c r="L408" s="30"/>
      <c r="M408" s="30"/>
    </row>
    <row r="409" spans="1:13" s="68" customFormat="1" ht="17.25" customHeight="1" x14ac:dyDescent="0.35">
      <c r="A409" s="116"/>
      <c r="B409" s="117"/>
      <c r="C409" s="117"/>
      <c r="D409" s="117" t="s">
        <v>36</v>
      </c>
      <c r="E409" s="117">
        <v>1</v>
      </c>
      <c r="F409" s="117">
        <v>1</v>
      </c>
      <c r="G409" s="117"/>
      <c r="H409" s="118"/>
      <c r="I409" s="100" t="s">
        <v>727</v>
      </c>
      <c r="J409" s="30"/>
      <c r="K409" s="30"/>
      <c r="L409" s="30"/>
      <c r="M409" s="30"/>
    </row>
    <row r="410" spans="1:13" s="68" customFormat="1" ht="17.25" customHeight="1" x14ac:dyDescent="0.35">
      <c r="A410" s="116"/>
      <c r="B410" s="117"/>
      <c r="C410" s="117"/>
      <c r="D410" s="117" t="s">
        <v>36</v>
      </c>
      <c r="E410" s="117">
        <v>1</v>
      </c>
      <c r="F410" s="117">
        <v>4</v>
      </c>
      <c r="G410" s="117"/>
      <c r="H410" s="118"/>
      <c r="I410" s="100" t="s">
        <v>728</v>
      </c>
      <c r="J410" s="30"/>
      <c r="K410" s="30"/>
      <c r="L410" s="30"/>
      <c r="M410" s="30"/>
    </row>
    <row r="411" spans="1:13" s="68" customFormat="1" ht="17.25" customHeight="1" x14ac:dyDescent="0.35">
      <c r="A411" s="116"/>
      <c r="B411" s="117"/>
      <c r="C411" s="117"/>
      <c r="D411" s="117" t="s">
        <v>36</v>
      </c>
      <c r="E411" s="117">
        <v>1</v>
      </c>
      <c r="F411" s="117">
        <v>7</v>
      </c>
      <c r="G411" s="117"/>
      <c r="H411" s="118"/>
      <c r="I411" s="100" t="s">
        <v>729</v>
      </c>
      <c r="J411" s="30"/>
      <c r="K411" s="30"/>
      <c r="L411" s="30"/>
      <c r="M411" s="30"/>
    </row>
    <row r="412" spans="1:13" s="68" customFormat="1" ht="17.25" customHeight="1" x14ac:dyDescent="0.35">
      <c r="A412" s="116"/>
      <c r="B412" s="117"/>
      <c r="C412" s="117"/>
      <c r="D412" s="117" t="s">
        <v>36</v>
      </c>
      <c r="E412" s="117">
        <v>4</v>
      </c>
      <c r="F412" s="117">
        <v>0</v>
      </c>
      <c r="G412" s="117"/>
      <c r="H412" s="118"/>
      <c r="I412" s="100" t="s">
        <v>730</v>
      </c>
      <c r="J412" s="30"/>
      <c r="K412" s="30"/>
      <c r="L412" s="30"/>
      <c r="M412" s="30"/>
    </row>
    <row r="413" spans="1:13" s="68" customFormat="1" ht="17.25" customHeight="1" x14ac:dyDescent="0.35">
      <c r="A413" s="116"/>
      <c r="B413" s="117"/>
      <c r="C413" s="117"/>
      <c r="D413" s="117" t="s">
        <v>36</v>
      </c>
      <c r="E413" s="117">
        <v>2</v>
      </c>
      <c r="F413" s="117">
        <v>384</v>
      </c>
      <c r="G413" s="117"/>
      <c r="H413" s="118"/>
      <c r="I413" s="100" t="s">
        <v>731</v>
      </c>
      <c r="J413" s="30"/>
      <c r="K413" s="30"/>
      <c r="L413" s="30"/>
      <c r="M413" s="30"/>
    </row>
    <row r="414" spans="1:13" s="68" customFormat="1" ht="17.25" customHeight="1" x14ac:dyDescent="0.35">
      <c r="A414" s="116"/>
      <c r="B414" s="117"/>
      <c r="C414" s="117"/>
      <c r="D414" s="117" t="s">
        <v>36</v>
      </c>
      <c r="E414" s="117">
        <v>2</v>
      </c>
      <c r="F414" s="117">
        <v>64</v>
      </c>
      <c r="G414" s="117"/>
      <c r="H414" s="118"/>
      <c r="I414" s="100" t="s">
        <v>732</v>
      </c>
      <c r="J414" s="30"/>
      <c r="K414" s="30"/>
      <c r="L414" s="30"/>
      <c r="M414" s="30"/>
    </row>
    <row r="415" spans="1:13" s="68" customFormat="1" ht="17.25" customHeight="1" x14ac:dyDescent="0.35">
      <c r="A415" s="116"/>
      <c r="B415" s="117"/>
      <c r="C415" s="117"/>
      <c r="D415" s="117" t="s">
        <v>36</v>
      </c>
      <c r="E415" s="117">
        <v>2</v>
      </c>
      <c r="F415" s="117">
        <v>384</v>
      </c>
      <c r="G415" s="117"/>
      <c r="H415" s="118"/>
      <c r="I415" s="100" t="s">
        <v>733</v>
      </c>
      <c r="J415" s="30"/>
      <c r="K415" s="30"/>
      <c r="L415" s="30"/>
      <c r="M415" s="30"/>
    </row>
    <row r="416" spans="1:13" s="68" customFormat="1" ht="17.25" customHeight="1" x14ac:dyDescent="0.35">
      <c r="A416" s="116"/>
      <c r="B416" s="117"/>
      <c r="C416" s="117"/>
      <c r="D416" s="117" t="s">
        <v>36</v>
      </c>
      <c r="E416" s="117">
        <v>1</v>
      </c>
      <c r="F416" s="117">
        <v>15</v>
      </c>
      <c r="G416" s="117"/>
      <c r="H416" s="118"/>
      <c r="I416" s="100" t="s">
        <v>734</v>
      </c>
      <c r="J416" s="30"/>
      <c r="K416" s="30"/>
      <c r="L416" s="30"/>
      <c r="M416" s="30"/>
    </row>
    <row r="417" spans="1:13" s="68" customFormat="1" ht="17.25" customHeight="1" x14ac:dyDescent="0.35">
      <c r="A417" s="116"/>
      <c r="B417" s="117"/>
      <c r="C417" s="117"/>
      <c r="D417" s="117" t="s">
        <v>36</v>
      </c>
      <c r="E417" s="117">
        <v>1</v>
      </c>
      <c r="F417" s="117">
        <v>7</v>
      </c>
      <c r="G417" s="117"/>
      <c r="H417" s="118"/>
      <c r="I417" s="100" t="s">
        <v>735</v>
      </c>
      <c r="J417" s="30"/>
      <c r="K417" s="30"/>
      <c r="L417" s="30"/>
      <c r="M417" s="30"/>
    </row>
    <row r="418" spans="1:13" s="68" customFormat="1" ht="17.25" customHeight="1" x14ac:dyDescent="0.35">
      <c r="A418" s="116"/>
      <c r="B418" s="117"/>
      <c r="C418" s="117"/>
      <c r="D418" s="117" t="s">
        <v>36</v>
      </c>
      <c r="E418" s="117">
        <v>1</v>
      </c>
      <c r="F418" s="117">
        <v>15</v>
      </c>
      <c r="G418" s="117"/>
      <c r="H418" s="118"/>
      <c r="I418" s="100" t="s">
        <v>736</v>
      </c>
      <c r="J418" s="30"/>
      <c r="K418" s="30"/>
      <c r="L418" s="30"/>
      <c r="M418" s="30"/>
    </row>
    <row r="419" spans="1:13" s="68" customFormat="1" ht="17.25" customHeight="1" x14ac:dyDescent="0.35">
      <c r="A419" s="116"/>
      <c r="B419" s="117"/>
      <c r="C419" s="117"/>
      <c r="D419" s="117" t="s">
        <v>36</v>
      </c>
      <c r="E419" s="117">
        <v>2</v>
      </c>
      <c r="F419" s="117">
        <v>0</v>
      </c>
      <c r="G419" s="117"/>
      <c r="H419" s="118"/>
      <c r="I419" s="100" t="s">
        <v>737</v>
      </c>
      <c r="J419" s="30"/>
      <c r="K419" s="30"/>
      <c r="L419" s="30"/>
      <c r="M419" s="30"/>
    </row>
    <row r="420" spans="1:13" s="68" customFormat="1" ht="17.25" customHeight="1" x14ac:dyDescent="0.35">
      <c r="A420" s="116"/>
      <c r="B420" s="117"/>
      <c r="C420" s="117"/>
      <c r="D420" s="117" t="s">
        <v>36</v>
      </c>
      <c r="E420" s="117">
        <v>2</v>
      </c>
      <c r="F420" s="117">
        <v>0</v>
      </c>
      <c r="G420" s="117"/>
      <c r="H420" s="118"/>
      <c r="I420" s="100" t="s">
        <v>738</v>
      </c>
      <c r="J420" s="30"/>
      <c r="K420" s="30"/>
      <c r="L420" s="30"/>
      <c r="M420" s="30"/>
    </row>
    <row r="421" spans="1:13" s="68" customFormat="1" ht="17.25" customHeight="1" x14ac:dyDescent="0.35">
      <c r="A421" s="116"/>
      <c r="B421" s="117"/>
      <c r="C421" s="117"/>
      <c r="D421" s="117" t="s">
        <v>36</v>
      </c>
      <c r="E421" s="117">
        <v>532</v>
      </c>
      <c r="F421" s="117"/>
      <c r="G421" s="117"/>
      <c r="H421" s="118"/>
      <c r="I421" s="100" t="s">
        <v>739</v>
      </c>
      <c r="J421" s="30"/>
      <c r="K421" s="30"/>
      <c r="L421" s="30"/>
      <c r="M421" s="30"/>
    </row>
    <row r="422" spans="1:13" s="68" customFormat="1" ht="17.25" customHeight="1" x14ac:dyDescent="0.35">
      <c r="A422" s="116" t="s">
        <v>740</v>
      </c>
      <c r="B422" s="117" t="s">
        <v>741</v>
      </c>
      <c r="C422" s="117" t="s">
        <v>58</v>
      </c>
      <c r="D422" s="117"/>
      <c r="E422" s="117"/>
      <c r="F422" s="117"/>
      <c r="G422" s="117" t="s">
        <v>591</v>
      </c>
      <c r="H422" s="118"/>
      <c r="I422" s="65">
        <v>70233</v>
      </c>
      <c r="J422" s="30"/>
      <c r="K422" s="30"/>
      <c r="L422" s="30"/>
      <c r="M422" s="30"/>
    </row>
    <row r="423" spans="1:13" s="68" customFormat="1" ht="17.25" customHeight="1" x14ac:dyDescent="0.35">
      <c r="A423" s="116"/>
      <c r="B423" s="117"/>
      <c r="C423" s="117"/>
      <c r="D423" s="117" t="s">
        <v>36</v>
      </c>
      <c r="E423" s="117">
        <v>1</v>
      </c>
      <c r="F423" s="117">
        <v>0</v>
      </c>
      <c r="G423" s="117"/>
      <c r="H423" s="118"/>
      <c r="I423" s="65" t="s">
        <v>223</v>
      </c>
      <c r="J423" s="30"/>
      <c r="K423" s="30"/>
      <c r="L423" s="30"/>
      <c r="M423" s="30"/>
    </row>
    <row r="424" spans="1:13" s="68" customFormat="1" ht="17.25" customHeight="1" x14ac:dyDescent="0.35">
      <c r="A424" s="116"/>
      <c r="B424" s="117"/>
      <c r="C424" s="117"/>
      <c r="D424" s="117" t="s">
        <v>36</v>
      </c>
      <c r="E424" s="117">
        <v>1</v>
      </c>
      <c r="F424" s="117">
        <v>1</v>
      </c>
      <c r="G424" s="117"/>
      <c r="H424" s="118"/>
      <c r="I424" s="65" t="s">
        <v>742</v>
      </c>
      <c r="J424" s="30"/>
      <c r="K424" s="30"/>
      <c r="L424" s="30"/>
      <c r="M424" s="30"/>
    </row>
    <row r="425" spans="1:13" s="68" customFormat="1" ht="17.25" customHeight="1" x14ac:dyDescent="0.35">
      <c r="A425" s="116"/>
      <c r="B425" s="117"/>
      <c r="C425" s="117"/>
      <c r="D425" s="117" t="s">
        <v>36</v>
      </c>
      <c r="E425" s="117">
        <v>1</v>
      </c>
      <c r="F425" s="117"/>
      <c r="G425" s="117"/>
      <c r="H425" s="118"/>
      <c r="I425" s="65" t="s">
        <v>743</v>
      </c>
      <c r="J425" s="30"/>
      <c r="K425" s="30"/>
      <c r="L425" s="30"/>
      <c r="M425" s="30"/>
    </row>
    <row r="426" spans="1:13" s="68" customFormat="1" ht="17.25" customHeight="1" x14ac:dyDescent="0.35">
      <c r="A426" s="116"/>
      <c r="B426" s="117"/>
      <c r="C426" s="117"/>
      <c r="D426" s="117" t="s">
        <v>37</v>
      </c>
      <c r="E426" s="117">
        <v>32</v>
      </c>
      <c r="F426" s="117"/>
      <c r="G426" s="117"/>
      <c r="H426" s="118"/>
      <c r="I426" s="65" t="s">
        <v>744</v>
      </c>
      <c r="J426" s="30"/>
      <c r="K426" s="30"/>
      <c r="L426" s="30"/>
      <c r="M426" s="30"/>
    </row>
    <row r="427" spans="1:13" s="68" customFormat="1" ht="17.25" customHeight="1" x14ac:dyDescent="0.35">
      <c r="A427" s="116"/>
      <c r="B427" s="117"/>
      <c r="C427" s="117"/>
      <c r="D427" s="117" t="s">
        <v>37</v>
      </c>
      <c r="E427" s="117">
        <v>32</v>
      </c>
      <c r="F427" s="117"/>
      <c r="G427" s="117"/>
      <c r="H427" s="118"/>
      <c r="I427" s="65" t="s">
        <v>745</v>
      </c>
      <c r="J427" s="30"/>
      <c r="K427" s="30"/>
      <c r="L427" s="30"/>
      <c r="M427" s="30"/>
    </row>
    <row r="428" spans="1:13" s="68" customFormat="1" ht="17.25" customHeight="1" x14ac:dyDescent="0.35">
      <c r="A428" s="116"/>
      <c r="B428" s="117"/>
      <c r="C428" s="117"/>
      <c r="D428" s="117" t="s">
        <v>36</v>
      </c>
      <c r="E428" s="117">
        <v>1</v>
      </c>
      <c r="F428" s="117"/>
      <c r="G428" s="117"/>
      <c r="H428" s="118"/>
      <c r="I428" s="65" t="s">
        <v>746</v>
      </c>
      <c r="J428" s="30"/>
      <c r="K428" s="30"/>
      <c r="L428" s="30"/>
      <c r="M428" s="30"/>
    </row>
    <row r="429" spans="1:13" s="68" customFormat="1" ht="17.25" customHeight="1" x14ac:dyDescent="0.35">
      <c r="A429" s="116"/>
      <c r="B429" s="117"/>
      <c r="C429" s="117"/>
      <c r="D429" s="117" t="s">
        <v>36</v>
      </c>
      <c r="E429" s="117">
        <v>1</v>
      </c>
      <c r="F429" s="117"/>
      <c r="G429" s="117"/>
      <c r="H429" s="118"/>
      <c r="I429" s="65" t="s">
        <v>747</v>
      </c>
      <c r="J429" s="30"/>
      <c r="K429" s="30"/>
      <c r="L429" s="30"/>
      <c r="M429" s="30"/>
    </row>
    <row r="430" spans="1:13" s="68" customFormat="1" ht="17.25" customHeight="1" x14ac:dyDescent="0.35">
      <c r="A430" s="116"/>
      <c r="B430" s="117"/>
      <c r="C430" s="117"/>
      <c r="D430" s="117" t="s">
        <v>36</v>
      </c>
      <c r="E430" s="117">
        <v>1</v>
      </c>
      <c r="F430" s="117"/>
      <c r="G430" s="117"/>
      <c r="H430" s="118"/>
      <c r="I430" s="65" t="s">
        <v>748</v>
      </c>
      <c r="J430" s="30"/>
      <c r="K430" s="30"/>
      <c r="L430" s="30"/>
      <c r="M430" s="30"/>
    </row>
    <row r="431" spans="1:13" s="68" customFormat="1" ht="17.25" customHeight="1" x14ac:dyDescent="0.35">
      <c r="A431" s="116"/>
      <c r="B431" s="117"/>
      <c r="C431" s="117"/>
      <c r="D431" s="117" t="s">
        <v>36</v>
      </c>
      <c r="E431" s="117">
        <v>1</v>
      </c>
      <c r="F431" s="117"/>
      <c r="G431" s="117"/>
      <c r="H431" s="118"/>
      <c r="I431" s="65" t="s">
        <v>749</v>
      </c>
      <c r="J431" s="30"/>
      <c r="K431" s="30"/>
      <c r="L431" s="30"/>
      <c r="M431" s="30"/>
    </row>
    <row r="432" spans="1:13" s="68" customFormat="1" ht="17.25" customHeight="1" x14ac:dyDescent="0.35">
      <c r="A432" s="116"/>
      <c r="B432" s="117"/>
      <c r="C432" s="117"/>
      <c r="D432" s="117" t="s">
        <v>37</v>
      </c>
      <c r="E432" s="117">
        <v>16</v>
      </c>
      <c r="F432" s="117"/>
      <c r="G432" s="117"/>
      <c r="H432" s="118"/>
      <c r="I432" s="65" t="s">
        <v>750</v>
      </c>
      <c r="J432" s="30"/>
      <c r="K432" s="30"/>
      <c r="L432" s="30"/>
      <c r="M432" s="30"/>
    </row>
    <row r="433" spans="1:13" s="68" customFormat="1" ht="17.25" customHeight="1" x14ac:dyDescent="0.35">
      <c r="A433" s="116"/>
      <c r="B433" s="117"/>
      <c r="C433" s="117"/>
      <c r="D433" s="117" t="s">
        <v>37</v>
      </c>
      <c r="E433" s="117">
        <v>16</v>
      </c>
      <c r="F433" s="117"/>
      <c r="G433" s="117"/>
      <c r="H433" s="118"/>
      <c r="I433" s="65" t="s">
        <v>751</v>
      </c>
      <c r="J433" s="30"/>
      <c r="K433" s="30"/>
      <c r="L433" s="30"/>
      <c r="M433" s="30"/>
    </row>
    <row r="434" spans="1:13" s="68" customFormat="1" ht="17.25" customHeight="1" x14ac:dyDescent="0.35">
      <c r="A434" s="116"/>
      <c r="B434" s="117"/>
      <c r="C434" s="117"/>
      <c r="D434" s="117" t="s">
        <v>37</v>
      </c>
      <c r="E434" s="117">
        <v>16</v>
      </c>
      <c r="F434" s="117"/>
      <c r="G434" s="117"/>
      <c r="H434" s="118"/>
      <c r="I434" s="65" t="s">
        <v>752</v>
      </c>
      <c r="J434" s="30"/>
      <c r="K434" s="30"/>
      <c r="L434" s="30"/>
      <c r="M434" s="30"/>
    </row>
    <row r="435" spans="1:13" s="68" customFormat="1" ht="17.25" customHeight="1" x14ac:dyDescent="0.35">
      <c r="A435" s="116"/>
      <c r="B435" s="117"/>
      <c r="C435" s="117"/>
      <c r="D435" s="117" t="s">
        <v>37</v>
      </c>
      <c r="E435" s="117">
        <v>16</v>
      </c>
      <c r="F435" s="117"/>
      <c r="G435" s="117"/>
      <c r="H435" s="118"/>
      <c r="I435" s="65" t="s">
        <v>753</v>
      </c>
      <c r="J435" s="30"/>
      <c r="K435" s="30"/>
      <c r="L435" s="30"/>
      <c r="M435" s="30"/>
    </row>
    <row r="436" spans="1:13" s="68" customFormat="1" ht="17.25" customHeight="1" x14ac:dyDescent="0.35">
      <c r="A436" s="116"/>
      <c r="B436" s="117"/>
      <c r="C436" s="117"/>
      <c r="D436" s="117" t="s">
        <v>37</v>
      </c>
      <c r="E436" s="117">
        <v>16</v>
      </c>
      <c r="F436" s="117"/>
      <c r="G436" s="117"/>
      <c r="H436" s="118"/>
      <c r="I436" s="65" t="s">
        <v>754</v>
      </c>
      <c r="J436" s="30"/>
      <c r="K436" s="30"/>
      <c r="L436" s="30"/>
      <c r="M436" s="30"/>
    </row>
    <row r="437" spans="1:13" s="68" customFormat="1" ht="17.25" customHeight="1" x14ac:dyDescent="0.35">
      <c r="A437" s="116"/>
      <c r="B437" s="117"/>
      <c r="C437" s="117"/>
      <c r="D437" s="117" t="s">
        <v>37</v>
      </c>
      <c r="E437" s="117">
        <v>45</v>
      </c>
      <c r="F437" s="117"/>
      <c r="G437" s="117"/>
      <c r="H437" s="118"/>
      <c r="I437" s="65" t="s">
        <v>755</v>
      </c>
      <c r="J437" s="30"/>
      <c r="K437" s="30"/>
      <c r="L437" s="30"/>
      <c r="M437" s="30"/>
    </row>
    <row r="438" spans="1:13" s="68" customFormat="1" ht="17.25" customHeight="1" x14ac:dyDescent="0.35">
      <c r="A438" s="116"/>
      <c r="B438" s="117"/>
      <c r="C438" s="117"/>
      <c r="D438" s="117" t="s">
        <v>37</v>
      </c>
      <c r="E438" s="117">
        <v>5</v>
      </c>
      <c r="F438" s="117"/>
      <c r="G438" s="117"/>
      <c r="H438" s="118"/>
      <c r="I438" s="65" t="s">
        <v>756</v>
      </c>
      <c r="J438" s="30"/>
      <c r="K438" s="30"/>
      <c r="L438" s="30"/>
      <c r="M438" s="30"/>
    </row>
    <row r="439" spans="1:13" s="68" customFormat="1" ht="17.25" customHeight="1" x14ac:dyDescent="0.35">
      <c r="A439" s="116"/>
      <c r="B439" s="117"/>
      <c r="C439" s="117"/>
      <c r="D439" s="117" t="s">
        <v>37</v>
      </c>
      <c r="E439" s="117">
        <v>270</v>
      </c>
      <c r="F439" s="117"/>
      <c r="G439" s="117"/>
      <c r="H439" s="118"/>
      <c r="I439" s="65" t="s">
        <v>757</v>
      </c>
      <c r="J439" s="30"/>
      <c r="K439" s="30"/>
      <c r="L439" s="30"/>
      <c r="M439" s="30"/>
    </row>
    <row r="440" spans="1:13" s="68" customFormat="1" ht="17.25" customHeight="1" x14ac:dyDescent="0.35">
      <c r="A440" s="116"/>
      <c r="B440" s="117"/>
      <c r="C440" s="117"/>
      <c r="D440" s="117" t="s">
        <v>37</v>
      </c>
      <c r="E440" s="117">
        <v>270</v>
      </c>
      <c r="F440" s="117"/>
      <c r="G440" s="117"/>
      <c r="H440" s="118"/>
      <c r="I440" s="65" t="s">
        <v>758</v>
      </c>
      <c r="J440" s="30"/>
      <c r="K440" s="30"/>
      <c r="L440" s="30"/>
      <c r="M440" s="30"/>
    </row>
    <row r="441" spans="1:13" s="68" customFormat="1" ht="17.25" customHeight="1" x14ac:dyDescent="0.35">
      <c r="A441" s="116"/>
      <c r="B441" s="117"/>
      <c r="C441" s="117"/>
      <c r="D441" s="117" t="s">
        <v>37</v>
      </c>
      <c r="E441" s="117">
        <v>270</v>
      </c>
      <c r="F441" s="117"/>
      <c r="G441" s="117"/>
      <c r="H441" s="118"/>
      <c r="I441" s="65" t="s">
        <v>759</v>
      </c>
      <c r="J441" s="30"/>
      <c r="K441" s="30"/>
      <c r="L441" s="30"/>
      <c r="M441" s="30"/>
    </row>
    <row r="442" spans="1:13" s="68" customFormat="1" ht="17.25" customHeight="1" x14ac:dyDescent="0.35">
      <c r="A442" s="116"/>
      <c r="B442" s="117"/>
      <c r="C442" s="117"/>
      <c r="D442" s="117" t="s">
        <v>36</v>
      </c>
      <c r="E442" s="117">
        <v>13</v>
      </c>
      <c r="F442" s="117"/>
      <c r="G442" s="117"/>
      <c r="H442" s="118"/>
      <c r="I442" s="65" t="s">
        <v>760</v>
      </c>
      <c r="J442" s="30"/>
      <c r="K442" s="30"/>
      <c r="L442" s="30"/>
      <c r="M442" s="30"/>
    </row>
    <row r="443" spans="1:13" s="68" customFormat="1" ht="17.25" customHeight="1" x14ac:dyDescent="0.35">
      <c r="A443" s="116" t="s">
        <v>434</v>
      </c>
      <c r="B443" s="117" t="s">
        <v>435</v>
      </c>
      <c r="C443" s="117" t="s">
        <v>58</v>
      </c>
      <c r="D443" s="117"/>
      <c r="E443" s="117"/>
      <c r="F443" s="117"/>
      <c r="G443" s="124" t="s">
        <v>591</v>
      </c>
      <c r="H443" s="118"/>
      <c r="I443" s="65">
        <v>70263</v>
      </c>
      <c r="J443" s="30"/>
      <c r="K443" s="30"/>
      <c r="L443" s="30"/>
      <c r="M443" s="30"/>
    </row>
    <row r="444" spans="1:13" s="68" customFormat="1" ht="17.25" customHeight="1" x14ac:dyDescent="0.35">
      <c r="A444" s="116"/>
      <c r="B444" s="117"/>
      <c r="C444" s="117"/>
      <c r="D444" s="117" t="s">
        <v>36</v>
      </c>
      <c r="E444" s="117">
        <v>1</v>
      </c>
      <c r="F444" s="117">
        <v>8</v>
      </c>
      <c r="G444" s="117"/>
      <c r="H444" s="118"/>
      <c r="I444" s="65" t="s">
        <v>211</v>
      </c>
      <c r="J444" s="30"/>
      <c r="K444" s="30"/>
      <c r="L444" s="30"/>
      <c r="M444" s="30"/>
    </row>
    <row r="445" spans="1:13" s="68" customFormat="1" ht="17.25" customHeight="1" x14ac:dyDescent="0.35">
      <c r="A445" s="116"/>
      <c r="B445" s="117"/>
      <c r="C445" s="117"/>
      <c r="D445" s="117" t="s">
        <v>37</v>
      </c>
      <c r="E445" s="117">
        <v>64</v>
      </c>
      <c r="F445" s="117" t="s">
        <v>1021</v>
      </c>
      <c r="G445" s="117"/>
      <c r="H445" s="118"/>
      <c r="I445" s="65" t="s">
        <v>436</v>
      </c>
      <c r="J445" s="30"/>
      <c r="K445" s="30"/>
      <c r="L445" s="30"/>
      <c r="M445" s="30"/>
    </row>
    <row r="446" spans="1:13" s="68" customFormat="1" ht="17.25" customHeight="1" x14ac:dyDescent="0.35">
      <c r="A446" s="116"/>
      <c r="B446" s="117"/>
      <c r="C446" s="117"/>
      <c r="D446" s="117" t="s">
        <v>37</v>
      </c>
      <c r="E446" s="117">
        <v>256</v>
      </c>
      <c r="F446" s="117"/>
      <c r="G446" s="117"/>
      <c r="H446" s="118"/>
      <c r="I446" s="65" t="s">
        <v>437</v>
      </c>
      <c r="J446" s="30"/>
      <c r="K446" s="30"/>
      <c r="L446" s="30"/>
      <c r="M446" s="30"/>
    </row>
    <row r="447" spans="1:13" s="68" customFormat="1" ht="17.25" customHeight="1" x14ac:dyDescent="0.35">
      <c r="A447" s="116"/>
      <c r="B447" s="117"/>
      <c r="C447" s="117"/>
      <c r="D447" s="117" t="s">
        <v>37</v>
      </c>
      <c r="E447" s="117">
        <v>256</v>
      </c>
      <c r="F447" s="117"/>
      <c r="G447" s="117"/>
      <c r="H447" s="118"/>
      <c r="I447" s="65" t="s">
        <v>438</v>
      </c>
      <c r="J447" s="30"/>
      <c r="K447" s="30"/>
      <c r="L447" s="30"/>
      <c r="M447" s="30"/>
    </row>
    <row r="448" spans="1:13" s="68" customFormat="1" ht="17.25" customHeight="1" x14ac:dyDescent="0.35">
      <c r="A448" s="116"/>
      <c r="B448" s="117"/>
      <c r="C448" s="117"/>
      <c r="D448" s="117" t="s">
        <v>37</v>
      </c>
      <c r="E448" s="117">
        <v>128</v>
      </c>
      <c r="F448" s="117" t="s">
        <v>439</v>
      </c>
      <c r="G448" s="117"/>
      <c r="H448" s="118"/>
      <c r="I448" s="65" t="s">
        <v>440</v>
      </c>
      <c r="J448" s="30"/>
      <c r="K448" s="30"/>
      <c r="L448" s="30"/>
      <c r="M448" s="30"/>
    </row>
    <row r="449" spans="1:13" s="68" customFormat="1" ht="17.25" customHeight="1" x14ac:dyDescent="0.35">
      <c r="A449" s="116"/>
      <c r="B449" s="117"/>
      <c r="C449" s="117"/>
      <c r="D449" s="117" t="s">
        <v>36</v>
      </c>
      <c r="E449" s="117">
        <v>4</v>
      </c>
      <c r="F449" s="117">
        <v>10</v>
      </c>
      <c r="G449" s="117"/>
      <c r="H449" s="118"/>
      <c r="I449" s="65" t="s">
        <v>441</v>
      </c>
      <c r="J449" s="30"/>
      <c r="K449" s="30"/>
      <c r="L449" s="30"/>
      <c r="M449" s="30"/>
    </row>
    <row r="450" spans="1:13" s="68" customFormat="1" ht="17.25" customHeight="1" x14ac:dyDescent="0.35">
      <c r="A450" s="116"/>
      <c r="B450" s="117"/>
      <c r="C450" s="117"/>
      <c r="D450" s="117" t="s">
        <v>36</v>
      </c>
      <c r="E450" s="117">
        <v>1</v>
      </c>
      <c r="F450" s="117">
        <v>1</v>
      </c>
      <c r="G450" s="117"/>
      <c r="H450" s="118"/>
      <c r="I450" s="65" t="s">
        <v>442</v>
      </c>
      <c r="J450" s="30"/>
      <c r="K450" s="30"/>
      <c r="L450" s="30"/>
      <c r="M450" s="30"/>
    </row>
    <row r="451" spans="1:13" s="68" customFormat="1" ht="17.25" customHeight="1" x14ac:dyDescent="0.35">
      <c r="A451" s="116"/>
      <c r="B451" s="117"/>
      <c r="C451" s="117"/>
      <c r="D451" s="117" t="s">
        <v>36</v>
      </c>
      <c r="E451" s="117">
        <v>1</v>
      </c>
      <c r="F451" s="117">
        <v>0</v>
      </c>
      <c r="G451" s="117"/>
      <c r="H451" s="118"/>
      <c r="I451" s="65" t="s">
        <v>565</v>
      </c>
      <c r="J451" s="30"/>
      <c r="K451" s="30"/>
      <c r="L451" s="30"/>
      <c r="M451" s="30"/>
    </row>
    <row r="452" spans="1:13" s="68" customFormat="1" ht="17.25" customHeight="1" x14ac:dyDescent="0.35">
      <c r="A452" s="116"/>
      <c r="B452" s="117"/>
      <c r="C452" s="117"/>
      <c r="D452" s="117" t="s">
        <v>36</v>
      </c>
      <c r="E452" s="117">
        <v>1</v>
      </c>
      <c r="F452" s="117">
        <v>0</v>
      </c>
      <c r="G452" s="117"/>
      <c r="H452" s="118"/>
      <c r="I452" s="65" t="s">
        <v>443</v>
      </c>
      <c r="J452" s="30"/>
      <c r="K452" s="30"/>
      <c r="L452" s="30"/>
      <c r="M452" s="30"/>
    </row>
    <row r="453" spans="1:13" s="68" customFormat="1" ht="17.25" customHeight="1" x14ac:dyDescent="0.35">
      <c r="A453" s="116"/>
      <c r="B453" s="117"/>
      <c r="C453" s="117"/>
      <c r="D453" s="117" t="s">
        <v>36</v>
      </c>
      <c r="E453" s="117">
        <v>1</v>
      </c>
      <c r="F453" s="117">
        <v>5</v>
      </c>
      <c r="G453" s="117"/>
      <c r="H453" s="118"/>
      <c r="I453" s="65" t="s">
        <v>566</v>
      </c>
      <c r="J453" s="30"/>
      <c r="K453" s="30"/>
      <c r="L453" s="30"/>
      <c r="M453" s="30"/>
    </row>
    <row r="454" spans="1:13" s="68" customFormat="1" ht="17.25" customHeight="1" x14ac:dyDescent="0.35">
      <c r="A454" s="116"/>
      <c r="B454" s="117"/>
      <c r="C454" s="117"/>
      <c r="D454" s="117" t="s">
        <v>36</v>
      </c>
      <c r="E454" s="117">
        <v>1</v>
      </c>
      <c r="F454" s="117">
        <v>0</v>
      </c>
      <c r="G454" s="117"/>
      <c r="H454" s="118"/>
      <c r="I454" s="65" t="s">
        <v>761</v>
      </c>
      <c r="J454" s="30"/>
      <c r="K454" s="30"/>
      <c r="L454" s="30"/>
      <c r="M454" s="30"/>
    </row>
    <row r="455" spans="1:13" s="68" customFormat="1" ht="17.25" customHeight="1" x14ac:dyDescent="0.35">
      <c r="A455" s="116"/>
      <c r="B455" s="117"/>
      <c r="C455" s="117"/>
      <c r="D455" s="117" t="s">
        <v>36</v>
      </c>
      <c r="E455" s="117">
        <v>1</v>
      </c>
      <c r="F455" s="117"/>
      <c r="G455" s="117"/>
      <c r="H455" s="118"/>
      <c r="I455" s="65" t="s">
        <v>762</v>
      </c>
      <c r="J455" s="30"/>
      <c r="K455" s="30"/>
      <c r="L455" s="30"/>
      <c r="M455" s="30"/>
    </row>
    <row r="456" spans="1:13" s="68" customFormat="1" ht="17.25" customHeight="1" x14ac:dyDescent="0.35">
      <c r="A456" s="116"/>
      <c r="B456" s="117"/>
      <c r="C456" s="117"/>
      <c r="D456" s="117" t="s">
        <v>37</v>
      </c>
      <c r="E456" s="117">
        <v>64</v>
      </c>
      <c r="F456" s="117"/>
      <c r="G456" s="117"/>
      <c r="H456" s="118"/>
      <c r="I456" s="65" t="s">
        <v>763</v>
      </c>
      <c r="J456" s="30"/>
      <c r="K456" s="30"/>
      <c r="L456" s="30"/>
      <c r="M456" s="30"/>
    </row>
    <row r="457" spans="1:13" s="68" customFormat="1" ht="17.25" customHeight="1" x14ac:dyDescent="0.35">
      <c r="A457" s="116"/>
      <c r="B457" s="117"/>
      <c r="C457" s="117"/>
      <c r="D457" s="117" t="s">
        <v>36</v>
      </c>
      <c r="E457" s="117">
        <v>1</v>
      </c>
      <c r="F457" s="117">
        <v>0</v>
      </c>
      <c r="G457" s="117"/>
      <c r="H457" s="118"/>
      <c r="I457" s="65" t="s">
        <v>764</v>
      </c>
      <c r="J457" s="30"/>
      <c r="K457" s="30"/>
      <c r="L457" s="30"/>
      <c r="M457" s="30"/>
    </row>
    <row r="458" spans="1:13" s="68" customFormat="1" ht="17.25" customHeight="1" x14ac:dyDescent="0.35">
      <c r="A458" s="116"/>
      <c r="B458" s="117"/>
      <c r="C458" s="117"/>
      <c r="D458" s="117" t="s">
        <v>36</v>
      </c>
      <c r="E458" s="117">
        <v>1</v>
      </c>
      <c r="F458" s="117">
        <v>0</v>
      </c>
      <c r="G458" s="117"/>
      <c r="H458" s="118"/>
      <c r="I458" s="65" t="s">
        <v>765</v>
      </c>
      <c r="J458" s="30"/>
      <c r="K458" s="30"/>
      <c r="L458" s="30"/>
      <c r="M458" s="30"/>
    </row>
    <row r="459" spans="1:13" s="68" customFormat="1" ht="17.25" customHeight="1" x14ac:dyDescent="0.35">
      <c r="A459" s="116"/>
      <c r="B459" s="117"/>
      <c r="C459" s="117"/>
      <c r="D459" s="117" t="s">
        <v>36</v>
      </c>
      <c r="E459" s="117">
        <v>2</v>
      </c>
      <c r="F459" s="117">
        <v>0</v>
      </c>
      <c r="G459" s="117"/>
      <c r="H459" s="118"/>
      <c r="I459" s="65" t="s">
        <v>766</v>
      </c>
      <c r="J459" s="30"/>
      <c r="K459" s="30"/>
      <c r="L459" s="30"/>
      <c r="M459" s="30"/>
    </row>
    <row r="460" spans="1:13" s="68" customFormat="1" ht="17.25" customHeight="1" x14ac:dyDescent="0.35">
      <c r="A460" s="116"/>
      <c r="B460" s="117"/>
      <c r="C460" s="117"/>
      <c r="D460" s="117" t="s">
        <v>36</v>
      </c>
      <c r="E460" s="117">
        <v>4</v>
      </c>
      <c r="F460" s="117">
        <v>0</v>
      </c>
      <c r="G460" s="117"/>
      <c r="H460" s="118"/>
      <c r="I460" s="65" t="s">
        <v>767</v>
      </c>
      <c r="J460" s="30"/>
      <c r="K460" s="30"/>
      <c r="L460" s="30"/>
      <c r="M460" s="30"/>
    </row>
    <row r="461" spans="1:13" s="68" customFormat="1" ht="17.25" customHeight="1" x14ac:dyDescent="0.35">
      <c r="A461" s="116"/>
      <c r="B461" s="117"/>
      <c r="C461" s="117"/>
      <c r="D461" s="117" t="s">
        <v>36</v>
      </c>
      <c r="E461" s="117">
        <v>1</v>
      </c>
      <c r="F461" s="117">
        <v>1</v>
      </c>
      <c r="G461" s="117"/>
      <c r="H461" s="118"/>
      <c r="I461" s="65" t="s">
        <v>1022</v>
      </c>
      <c r="J461" s="30"/>
      <c r="K461" s="30"/>
      <c r="L461" s="30"/>
      <c r="M461" s="30"/>
    </row>
    <row r="462" spans="1:13" s="68" customFormat="1" ht="17.25" customHeight="1" x14ac:dyDescent="0.35">
      <c r="A462" s="116"/>
      <c r="B462" s="117"/>
      <c r="C462" s="117"/>
      <c r="D462" s="117" t="s">
        <v>37</v>
      </c>
      <c r="E462" s="117">
        <v>100</v>
      </c>
      <c r="F462" s="117" t="s">
        <v>1023</v>
      </c>
      <c r="G462" s="117"/>
      <c r="H462" s="118"/>
      <c r="I462" s="65" t="s">
        <v>1024</v>
      </c>
      <c r="J462" s="30"/>
      <c r="K462" s="30"/>
      <c r="L462" s="30"/>
      <c r="M462" s="30"/>
    </row>
    <row r="463" spans="1:13" s="68" customFormat="1" ht="17.25" customHeight="1" x14ac:dyDescent="0.35">
      <c r="A463" s="116"/>
      <c r="B463" s="117"/>
      <c r="C463" s="117"/>
      <c r="D463" s="117" t="s">
        <v>36</v>
      </c>
      <c r="E463" s="117">
        <v>108</v>
      </c>
      <c r="F463" s="117"/>
      <c r="G463" s="117"/>
      <c r="H463" s="118"/>
      <c r="I463" s="65" t="s">
        <v>222</v>
      </c>
      <c r="J463" s="30"/>
      <c r="K463" s="30"/>
      <c r="L463" s="30"/>
      <c r="M463" s="30"/>
    </row>
    <row r="464" spans="1:13" s="68" customFormat="1" ht="17.25" customHeight="1" x14ac:dyDescent="0.35">
      <c r="A464" s="116" t="s">
        <v>333</v>
      </c>
      <c r="B464" s="117" t="s">
        <v>334</v>
      </c>
      <c r="C464" s="117" t="s">
        <v>58</v>
      </c>
      <c r="D464" s="117"/>
      <c r="E464" s="117"/>
      <c r="F464" s="117"/>
      <c r="G464" s="117" t="s">
        <v>591</v>
      </c>
      <c r="H464" s="118"/>
      <c r="I464" s="65" t="s">
        <v>768</v>
      </c>
      <c r="J464" s="30"/>
      <c r="K464" s="30"/>
      <c r="L464" s="30"/>
      <c r="M464" s="30"/>
    </row>
    <row r="465" spans="1:13" s="68" customFormat="1" ht="17.25" customHeight="1" x14ac:dyDescent="0.35">
      <c r="A465" s="116"/>
      <c r="B465" s="117"/>
      <c r="C465" s="117"/>
      <c r="D465" s="117" t="s">
        <v>36</v>
      </c>
      <c r="E465" s="117">
        <v>1</v>
      </c>
      <c r="F465" s="117">
        <v>0</v>
      </c>
      <c r="G465" s="117"/>
      <c r="H465" s="118"/>
      <c r="I465" s="65" t="s">
        <v>173</v>
      </c>
      <c r="J465" s="30"/>
      <c r="K465" s="30"/>
      <c r="L465" s="30"/>
      <c r="M465" s="30"/>
    </row>
    <row r="466" spans="1:13" s="68" customFormat="1" ht="17.25" customHeight="1" x14ac:dyDescent="0.35">
      <c r="A466" s="116"/>
      <c r="B466" s="117"/>
      <c r="C466" s="117"/>
      <c r="D466" s="117" t="s">
        <v>36</v>
      </c>
      <c r="E466" s="117">
        <v>4</v>
      </c>
      <c r="F466" s="117"/>
      <c r="G466" s="117"/>
      <c r="H466" s="118"/>
      <c r="I466" s="65" t="s">
        <v>335</v>
      </c>
      <c r="J466" s="30"/>
      <c r="K466" s="30"/>
      <c r="L466" s="30"/>
      <c r="M466" s="30"/>
    </row>
    <row r="467" spans="1:13" s="68" customFormat="1" ht="17.25" customHeight="1" x14ac:dyDescent="0.35">
      <c r="A467" s="116"/>
      <c r="B467" s="117"/>
      <c r="C467" s="117"/>
      <c r="D467" s="117" t="s">
        <v>36</v>
      </c>
      <c r="E467" s="117">
        <v>1</v>
      </c>
      <c r="F467" s="117">
        <v>0</v>
      </c>
      <c r="G467" s="117"/>
      <c r="H467" s="118"/>
      <c r="I467" s="65" t="s">
        <v>336</v>
      </c>
      <c r="J467" s="30"/>
      <c r="K467" s="30"/>
      <c r="L467" s="30"/>
      <c r="M467" s="30"/>
    </row>
    <row r="468" spans="1:13" s="68" customFormat="1" ht="17.25" customHeight="1" x14ac:dyDescent="0.35">
      <c r="A468" s="116"/>
      <c r="B468" s="117"/>
      <c r="C468" s="117"/>
      <c r="D468" s="117" t="s">
        <v>36</v>
      </c>
      <c r="E468" s="117">
        <v>122</v>
      </c>
      <c r="F468" s="117"/>
      <c r="G468" s="117"/>
      <c r="H468" s="118"/>
      <c r="I468" s="65" t="s">
        <v>222</v>
      </c>
      <c r="J468" s="30"/>
      <c r="K468" s="30"/>
      <c r="L468" s="30"/>
      <c r="M468" s="30"/>
    </row>
    <row r="469" spans="1:13" s="68" customFormat="1" ht="17.25" customHeight="1" x14ac:dyDescent="0.35">
      <c r="A469" s="116" t="s">
        <v>228</v>
      </c>
      <c r="B469" s="117" t="s">
        <v>229</v>
      </c>
      <c r="C469" s="117" t="s">
        <v>58</v>
      </c>
      <c r="D469" s="117"/>
      <c r="E469" s="117"/>
      <c r="F469" s="117"/>
      <c r="G469" s="136" t="s">
        <v>591</v>
      </c>
      <c r="H469" s="118"/>
      <c r="I469" s="65">
        <v>71527</v>
      </c>
      <c r="J469" s="30"/>
      <c r="K469" s="30"/>
      <c r="L469" s="30"/>
      <c r="M469" s="30"/>
    </row>
    <row r="470" spans="1:13" s="68" customFormat="1" ht="17.25" customHeight="1" x14ac:dyDescent="0.35">
      <c r="A470" s="116"/>
      <c r="B470" s="117"/>
      <c r="C470" s="117"/>
      <c r="D470" s="117" t="s">
        <v>36</v>
      </c>
      <c r="E470" s="117">
        <v>1</v>
      </c>
      <c r="F470" s="117">
        <v>1</v>
      </c>
      <c r="G470" s="117"/>
      <c r="H470" s="118"/>
      <c r="I470" s="65" t="s">
        <v>211</v>
      </c>
      <c r="J470" s="30"/>
      <c r="K470" s="30"/>
      <c r="L470" s="30"/>
      <c r="M470" s="30"/>
    </row>
    <row r="471" spans="1:13" s="68" customFormat="1" ht="17.25" customHeight="1" x14ac:dyDescent="0.35">
      <c r="A471" s="116"/>
      <c r="B471" s="117"/>
      <c r="C471" s="117"/>
      <c r="D471" s="117" t="s">
        <v>36</v>
      </c>
      <c r="E471" s="117">
        <v>2</v>
      </c>
      <c r="F471" s="117">
        <v>272</v>
      </c>
      <c r="G471" s="117"/>
      <c r="H471" s="118"/>
      <c r="I471" s="65" t="s">
        <v>230</v>
      </c>
      <c r="J471" s="30"/>
      <c r="K471" s="30"/>
      <c r="L471" s="30"/>
      <c r="M471" s="30"/>
    </row>
    <row r="472" spans="1:13" s="68" customFormat="1" ht="17.25" customHeight="1" x14ac:dyDescent="0.35">
      <c r="A472" s="116"/>
      <c r="B472" s="117"/>
      <c r="C472" s="117"/>
      <c r="D472" s="117" t="s">
        <v>36</v>
      </c>
      <c r="E472" s="117">
        <v>1</v>
      </c>
      <c r="F472" s="117">
        <v>17</v>
      </c>
      <c r="G472" s="117"/>
      <c r="H472" s="118"/>
      <c r="I472" s="65" t="s">
        <v>231</v>
      </c>
      <c r="J472" s="30"/>
      <c r="K472" s="30"/>
      <c r="L472" s="30"/>
      <c r="M472" s="30"/>
    </row>
    <row r="473" spans="1:13" s="68" customFormat="1" ht="17.25" customHeight="1" x14ac:dyDescent="0.35">
      <c r="A473" s="116"/>
      <c r="B473" s="117"/>
      <c r="C473" s="117"/>
      <c r="D473" s="117" t="s">
        <v>36</v>
      </c>
      <c r="E473" s="117">
        <v>2</v>
      </c>
      <c r="F473" s="117">
        <v>7</v>
      </c>
      <c r="G473" s="117"/>
      <c r="H473" s="118"/>
      <c r="I473" s="65" t="s">
        <v>232</v>
      </c>
      <c r="J473" s="30"/>
      <c r="K473" s="30"/>
      <c r="L473" s="30"/>
      <c r="M473" s="30"/>
    </row>
    <row r="474" spans="1:13" s="68" customFormat="1" ht="17.25" customHeight="1" x14ac:dyDescent="0.35">
      <c r="A474" s="116"/>
      <c r="B474" s="117"/>
      <c r="C474" s="117"/>
      <c r="D474" s="117" t="s">
        <v>36</v>
      </c>
      <c r="E474" s="117">
        <v>1</v>
      </c>
      <c r="F474" s="117">
        <v>136</v>
      </c>
      <c r="G474" s="117"/>
      <c r="H474" s="118"/>
      <c r="I474" s="65" t="s">
        <v>233</v>
      </c>
      <c r="J474" s="30"/>
      <c r="K474" s="30"/>
      <c r="L474" s="30"/>
      <c r="M474" s="30"/>
    </row>
    <row r="475" spans="1:13" s="68" customFormat="1" ht="17.25" customHeight="1" x14ac:dyDescent="0.35">
      <c r="A475" s="116"/>
      <c r="B475" s="117"/>
      <c r="C475" s="117"/>
      <c r="D475" s="117" t="s">
        <v>36</v>
      </c>
      <c r="E475" s="117">
        <v>1</v>
      </c>
      <c r="F475" s="117">
        <v>80</v>
      </c>
      <c r="G475" s="117"/>
      <c r="H475" s="118"/>
      <c r="I475" s="65" t="s">
        <v>234</v>
      </c>
      <c r="J475" s="30"/>
      <c r="K475" s="30"/>
      <c r="L475" s="30"/>
      <c r="M475" s="30"/>
    </row>
    <row r="476" spans="1:13" s="68" customFormat="1" ht="17.25" customHeight="1" x14ac:dyDescent="0.35">
      <c r="A476" s="116"/>
      <c r="B476" s="117"/>
      <c r="C476" s="117"/>
      <c r="D476" s="179" t="s">
        <v>36</v>
      </c>
      <c r="E476" s="117">
        <v>2</v>
      </c>
      <c r="F476" s="179">
        <v>0</v>
      </c>
      <c r="G476" s="179"/>
      <c r="H476" s="180"/>
      <c r="I476" s="181" t="s">
        <v>235</v>
      </c>
      <c r="J476" s="30"/>
      <c r="K476" s="30"/>
      <c r="L476" s="30"/>
      <c r="M476" s="30"/>
    </row>
    <row r="477" spans="1:13" s="68" customFormat="1" ht="17.25" customHeight="1" x14ac:dyDescent="0.35">
      <c r="A477" s="116"/>
      <c r="B477" s="117"/>
      <c r="C477" s="117"/>
      <c r="D477" s="117" t="s">
        <v>36</v>
      </c>
      <c r="E477" s="117">
        <v>1</v>
      </c>
      <c r="F477" s="117">
        <v>0</v>
      </c>
      <c r="G477" s="117"/>
      <c r="H477" s="118"/>
      <c r="I477" s="65" t="s">
        <v>236</v>
      </c>
      <c r="J477" s="30"/>
      <c r="K477" s="30"/>
      <c r="L477" s="30"/>
      <c r="M477" s="30"/>
    </row>
    <row r="478" spans="1:13" s="68" customFormat="1" ht="17.25" customHeight="1" x14ac:dyDescent="0.35">
      <c r="A478" s="116"/>
      <c r="B478" s="117"/>
      <c r="C478" s="117"/>
      <c r="D478" s="117" t="s">
        <v>36</v>
      </c>
      <c r="E478" s="117">
        <v>2</v>
      </c>
      <c r="F478" s="117">
        <v>0</v>
      </c>
      <c r="G478" s="117"/>
      <c r="H478" s="118"/>
      <c r="I478" s="65" t="s">
        <v>237</v>
      </c>
      <c r="J478" s="30"/>
      <c r="K478" s="30"/>
      <c r="L478" s="30"/>
      <c r="M478" s="30"/>
    </row>
    <row r="479" spans="1:13" s="68" customFormat="1" ht="17.25" customHeight="1" x14ac:dyDescent="0.35">
      <c r="A479" s="116"/>
      <c r="B479" s="117"/>
      <c r="C479" s="117"/>
      <c r="D479" s="117" t="s">
        <v>36</v>
      </c>
      <c r="E479" s="117">
        <v>1</v>
      </c>
      <c r="F479" s="117">
        <v>0</v>
      </c>
      <c r="G479" s="117"/>
      <c r="H479" s="118"/>
      <c r="I479" s="65" t="s">
        <v>238</v>
      </c>
      <c r="J479" s="30"/>
      <c r="K479" s="30"/>
      <c r="L479" s="30"/>
      <c r="M479" s="30"/>
    </row>
    <row r="480" spans="1:13" s="68" customFormat="1" ht="17.25" customHeight="1" x14ac:dyDescent="0.35">
      <c r="A480" s="116"/>
      <c r="B480" s="117"/>
      <c r="C480" s="117"/>
      <c r="D480" s="117" t="s">
        <v>36</v>
      </c>
      <c r="E480" s="117">
        <v>1</v>
      </c>
      <c r="F480" s="117">
        <v>0</v>
      </c>
      <c r="G480" s="117"/>
      <c r="H480" s="118"/>
      <c r="I480" s="65" t="s">
        <v>239</v>
      </c>
      <c r="J480" s="30"/>
      <c r="K480" s="30"/>
      <c r="L480" s="30"/>
      <c r="M480" s="30"/>
    </row>
    <row r="481" spans="1:13" s="68" customFormat="1" ht="17.25" customHeight="1" x14ac:dyDescent="0.35">
      <c r="A481" s="116"/>
      <c r="B481" s="117"/>
      <c r="C481" s="117"/>
      <c r="D481" s="117" t="s">
        <v>36</v>
      </c>
      <c r="E481" s="117">
        <v>2</v>
      </c>
      <c r="F481" s="117">
        <v>0</v>
      </c>
      <c r="G481" s="117"/>
      <c r="H481" s="118"/>
      <c r="I481" s="65" t="s">
        <v>240</v>
      </c>
      <c r="J481" s="30"/>
      <c r="K481" s="30"/>
      <c r="L481" s="30"/>
      <c r="M481" s="30"/>
    </row>
    <row r="482" spans="1:13" s="68" customFormat="1" ht="17.25" customHeight="1" x14ac:dyDescent="0.35">
      <c r="A482" s="116"/>
      <c r="B482" s="117"/>
      <c r="C482" s="117"/>
      <c r="D482" s="179" t="s">
        <v>36</v>
      </c>
      <c r="E482" s="117">
        <v>1</v>
      </c>
      <c r="F482" s="179">
        <v>0</v>
      </c>
      <c r="G482" s="179"/>
      <c r="H482" s="180"/>
      <c r="I482" s="181" t="s">
        <v>241</v>
      </c>
      <c r="J482" s="30"/>
      <c r="K482" s="30"/>
      <c r="L482" s="30"/>
      <c r="M482" s="30"/>
    </row>
    <row r="483" spans="1:13" s="68" customFormat="1" ht="17.25" customHeight="1" x14ac:dyDescent="0.35">
      <c r="A483" s="116"/>
      <c r="B483" s="117"/>
      <c r="C483" s="117"/>
      <c r="D483" s="117" t="s">
        <v>36</v>
      </c>
      <c r="E483" s="117">
        <v>2</v>
      </c>
      <c r="F483" s="117">
        <v>0</v>
      </c>
      <c r="G483" s="117"/>
      <c r="H483" s="118"/>
      <c r="I483" s="65" t="s">
        <v>242</v>
      </c>
      <c r="J483" s="30"/>
      <c r="K483" s="30"/>
      <c r="L483" s="30"/>
      <c r="M483" s="30"/>
    </row>
    <row r="484" spans="1:13" s="68" customFormat="1" ht="17.25" customHeight="1" x14ac:dyDescent="0.35">
      <c r="A484" s="116"/>
      <c r="B484" s="117"/>
      <c r="C484" s="117"/>
      <c r="D484" s="117" t="s">
        <v>36</v>
      </c>
      <c r="E484" s="117">
        <v>1</v>
      </c>
      <c r="F484" s="117">
        <v>0</v>
      </c>
      <c r="G484" s="117"/>
      <c r="H484" s="118"/>
      <c r="I484" s="65" t="s">
        <v>243</v>
      </c>
      <c r="J484" s="30"/>
      <c r="K484" s="30"/>
      <c r="L484" s="30"/>
      <c r="M484" s="30"/>
    </row>
    <row r="485" spans="1:13" s="68" customFormat="1" ht="17.25" customHeight="1" x14ac:dyDescent="0.35">
      <c r="A485" s="116"/>
      <c r="B485" s="117"/>
      <c r="C485" s="117"/>
      <c r="D485" s="117" t="s">
        <v>36</v>
      </c>
      <c r="E485" s="117">
        <v>1</v>
      </c>
      <c r="F485" s="117">
        <v>0</v>
      </c>
      <c r="G485" s="117"/>
      <c r="H485" s="118"/>
      <c r="I485" s="65" t="s">
        <v>244</v>
      </c>
      <c r="J485" s="30"/>
      <c r="K485" s="30"/>
      <c r="L485" s="30"/>
      <c r="M485" s="30"/>
    </row>
    <row r="486" spans="1:13" s="68" customFormat="1" ht="17.25" customHeight="1" x14ac:dyDescent="0.35">
      <c r="A486" s="116"/>
      <c r="B486" s="117"/>
      <c r="C486" s="117"/>
      <c r="D486" s="117" t="s">
        <v>36</v>
      </c>
      <c r="E486" s="117">
        <v>2</v>
      </c>
      <c r="F486" s="117">
        <v>0</v>
      </c>
      <c r="G486" s="117"/>
      <c r="H486" s="118"/>
      <c r="I486" s="65" t="s">
        <v>245</v>
      </c>
      <c r="J486" s="30"/>
      <c r="K486" s="30"/>
      <c r="L486" s="30"/>
      <c r="M486" s="30"/>
    </row>
    <row r="487" spans="1:13" s="68" customFormat="1" ht="17.25" customHeight="1" x14ac:dyDescent="0.35">
      <c r="A487" s="116"/>
      <c r="B487" s="117"/>
      <c r="C487" s="117"/>
      <c r="D487" s="117" t="s">
        <v>36</v>
      </c>
      <c r="E487" s="117">
        <v>1</v>
      </c>
      <c r="F487" s="117">
        <v>0</v>
      </c>
      <c r="G487" s="117"/>
      <c r="H487" s="118"/>
      <c r="I487" s="65" t="s">
        <v>246</v>
      </c>
      <c r="J487" s="30"/>
      <c r="K487" s="30"/>
      <c r="L487" s="30"/>
      <c r="M487" s="30"/>
    </row>
    <row r="488" spans="1:13" s="68" customFormat="1" ht="17.25" customHeight="1" x14ac:dyDescent="0.35">
      <c r="A488" s="116"/>
      <c r="B488" s="117"/>
      <c r="C488" s="117"/>
      <c r="D488" s="179" t="s">
        <v>36</v>
      </c>
      <c r="E488" s="117">
        <v>2</v>
      </c>
      <c r="F488" s="179">
        <v>0</v>
      </c>
      <c r="G488" s="179"/>
      <c r="H488" s="180"/>
      <c r="I488" s="181" t="s">
        <v>247</v>
      </c>
      <c r="J488" s="30"/>
      <c r="K488" s="30"/>
      <c r="L488" s="30"/>
      <c r="M488" s="30"/>
    </row>
    <row r="489" spans="1:13" s="68" customFormat="1" ht="17.25" customHeight="1" x14ac:dyDescent="0.35">
      <c r="A489" s="116"/>
      <c r="B489" s="117"/>
      <c r="C489" s="117"/>
      <c r="D489" s="117" t="s">
        <v>36</v>
      </c>
      <c r="E489" s="117">
        <v>1</v>
      </c>
      <c r="F489" s="117">
        <v>0</v>
      </c>
      <c r="G489" s="117"/>
      <c r="H489" s="118"/>
      <c r="I489" s="65" t="s">
        <v>248</v>
      </c>
      <c r="J489" s="30"/>
      <c r="K489" s="30"/>
      <c r="L489" s="30"/>
      <c r="M489" s="30"/>
    </row>
    <row r="490" spans="1:13" s="68" customFormat="1" ht="17.25" customHeight="1" x14ac:dyDescent="0.35">
      <c r="A490" s="116"/>
      <c r="B490" s="117"/>
      <c r="C490" s="117"/>
      <c r="D490" s="117" t="s">
        <v>36</v>
      </c>
      <c r="E490" s="117">
        <v>1</v>
      </c>
      <c r="F490" s="117">
        <v>0</v>
      </c>
      <c r="G490" s="117"/>
      <c r="H490" s="118"/>
      <c r="I490" s="65" t="s">
        <v>249</v>
      </c>
      <c r="J490" s="30"/>
      <c r="K490" s="30"/>
      <c r="L490" s="30"/>
      <c r="M490" s="30"/>
    </row>
    <row r="491" spans="1:13" s="68" customFormat="1" ht="17.25" customHeight="1" x14ac:dyDescent="0.35">
      <c r="A491" s="116"/>
      <c r="B491" s="117"/>
      <c r="C491" s="117"/>
      <c r="D491" s="117" t="s">
        <v>36</v>
      </c>
      <c r="E491" s="117">
        <v>2</v>
      </c>
      <c r="F491" s="117">
        <v>0</v>
      </c>
      <c r="G491" s="117"/>
      <c r="H491" s="118"/>
      <c r="I491" s="65" t="s">
        <v>250</v>
      </c>
      <c r="J491" s="30"/>
      <c r="K491" s="30"/>
      <c r="L491" s="30"/>
      <c r="M491" s="30"/>
    </row>
    <row r="492" spans="1:13" s="69" customFormat="1" ht="17.25" x14ac:dyDescent="0.35">
      <c r="A492" s="116"/>
      <c r="B492" s="117"/>
      <c r="C492" s="117"/>
      <c r="D492" s="117" t="s">
        <v>36</v>
      </c>
      <c r="E492" s="117">
        <v>1</v>
      </c>
      <c r="F492" s="117">
        <v>0</v>
      </c>
      <c r="G492" s="117"/>
      <c r="H492" s="118"/>
      <c r="I492" s="65" t="s">
        <v>251</v>
      </c>
      <c r="J492" s="66"/>
      <c r="K492" s="66"/>
      <c r="L492" s="66"/>
      <c r="M492" s="66"/>
    </row>
    <row r="493" spans="1:13" s="69" customFormat="1" ht="17.25" x14ac:dyDescent="0.35">
      <c r="A493" s="116"/>
      <c r="B493" s="117"/>
      <c r="C493" s="117"/>
      <c r="D493" s="117" t="s">
        <v>36</v>
      </c>
      <c r="E493" s="117">
        <v>2</v>
      </c>
      <c r="F493" s="117">
        <v>0</v>
      </c>
      <c r="G493" s="117"/>
      <c r="H493" s="118"/>
      <c r="I493" s="65" t="s">
        <v>252</v>
      </c>
      <c r="J493" s="66"/>
      <c r="K493" s="66"/>
      <c r="L493" s="66"/>
      <c r="M493" s="66"/>
    </row>
    <row r="494" spans="1:13" s="69" customFormat="1" ht="17.25" x14ac:dyDescent="0.35">
      <c r="A494" s="116"/>
      <c r="B494" s="117"/>
      <c r="C494" s="117"/>
      <c r="D494" s="179" t="s">
        <v>36</v>
      </c>
      <c r="E494" s="117">
        <v>1</v>
      </c>
      <c r="F494" s="179">
        <v>0</v>
      </c>
      <c r="G494" s="179"/>
      <c r="H494" s="180"/>
      <c r="I494" s="181" t="s">
        <v>253</v>
      </c>
      <c r="J494" s="66"/>
      <c r="K494" s="66"/>
      <c r="L494" s="66"/>
      <c r="M494" s="66"/>
    </row>
    <row r="495" spans="1:13" s="69" customFormat="1" ht="17.25" x14ac:dyDescent="0.35">
      <c r="A495" s="116"/>
      <c r="B495" s="117"/>
      <c r="C495" s="117"/>
      <c r="D495" s="117" t="s">
        <v>36</v>
      </c>
      <c r="E495" s="117">
        <v>1</v>
      </c>
      <c r="F495" s="117">
        <v>0</v>
      </c>
      <c r="G495" s="117"/>
      <c r="H495" s="118"/>
      <c r="I495" s="65" t="s">
        <v>254</v>
      </c>
      <c r="J495" s="66"/>
      <c r="K495" s="66"/>
      <c r="L495" s="66"/>
      <c r="M495" s="66"/>
    </row>
    <row r="496" spans="1:13" s="69" customFormat="1" ht="17.25" x14ac:dyDescent="0.35">
      <c r="A496" s="116"/>
      <c r="B496" s="117"/>
      <c r="C496" s="117"/>
      <c r="D496" s="117" t="s">
        <v>36</v>
      </c>
      <c r="E496" s="117">
        <v>2</v>
      </c>
      <c r="F496" s="117">
        <v>0</v>
      </c>
      <c r="G496" s="117"/>
      <c r="H496" s="118"/>
      <c r="I496" s="65" t="s">
        <v>255</v>
      </c>
      <c r="J496" s="66"/>
      <c r="K496" s="66"/>
      <c r="L496" s="66"/>
      <c r="M496" s="66"/>
    </row>
    <row r="497" spans="1:13" s="69" customFormat="1" ht="17.25" x14ac:dyDescent="0.35">
      <c r="A497" s="116"/>
      <c r="B497" s="117"/>
      <c r="C497" s="117"/>
      <c r="D497" s="117" t="s">
        <v>36</v>
      </c>
      <c r="E497" s="117">
        <v>1</v>
      </c>
      <c r="F497" s="117">
        <v>0</v>
      </c>
      <c r="G497" s="117"/>
      <c r="H497" s="118"/>
      <c r="I497" s="65" t="s">
        <v>256</v>
      </c>
      <c r="J497" s="66"/>
      <c r="K497" s="66"/>
      <c r="L497" s="66"/>
      <c r="M497" s="66"/>
    </row>
    <row r="498" spans="1:13" s="69" customFormat="1" ht="17.25" x14ac:dyDescent="0.35">
      <c r="A498" s="116"/>
      <c r="B498" s="117"/>
      <c r="C498" s="117"/>
      <c r="D498" s="117" t="s">
        <v>36</v>
      </c>
      <c r="E498" s="117">
        <v>2</v>
      </c>
      <c r="F498" s="117">
        <v>0</v>
      </c>
      <c r="G498" s="117"/>
      <c r="H498" s="118"/>
      <c r="I498" s="65" t="s">
        <v>257</v>
      </c>
      <c r="J498" s="66"/>
      <c r="K498" s="66"/>
      <c r="L498" s="66"/>
      <c r="M498" s="66"/>
    </row>
    <row r="499" spans="1:13" s="69" customFormat="1" ht="17.25" x14ac:dyDescent="0.35">
      <c r="A499" s="116"/>
      <c r="B499" s="117"/>
      <c r="C499" s="117"/>
      <c r="D499" s="117" t="s">
        <v>36</v>
      </c>
      <c r="E499" s="117">
        <v>1</v>
      </c>
      <c r="F499" s="117">
        <v>0</v>
      </c>
      <c r="G499" s="117"/>
      <c r="H499" s="118"/>
      <c r="I499" s="65" t="s">
        <v>258</v>
      </c>
      <c r="J499" s="66"/>
      <c r="K499" s="66"/>
      <c r="L499" s="66"/>
      <c r="M499" s="66"/>
    </row>
    <row r="500" spans="1:13" s="67" customFormat="1" ht="17.25" x14ac:dyDescent="0.35">
      <c r="A500" s="116"/>
      <c r="B500" s="117"/>
      <c r="C500" s="117"/>
      <c r="D500" s="179" t="s">
        <v>36</v>
      </c>
      <c r="E500" s="117">
        <v>1</v>
      </c>
      <c r="F500" s="179">
        <v>0</v>
      </c>
      <c r="G500" s="179"/>
      <c r="H500" s="180"/>
      <c r="I500" s="181" t="s">
        <v>259</v>
      </c>
      <c r="J500" s="66"/>
      <c r="K500" s="66"/>
      <c r="L500" s="66"/>
      <c r="M500" s="66"/>
    </row>
    <row r="501" spans="1:13" s="69" customFormat="1" ht="17.25" x14ac:dyDescent="0.35">
      <c r="A501" s="116"/>
      <c r="B501" s="117"/>
      <c r="C501" s="117"/>
      <c r="D501" s="117" t="s">
        <v>36</v>
      </c>
      <c r="E501" s="117">
        <v>2</v>
      </c>
      <c r="F501" s="117">
        <v>0</v>
      </c>
      <c r="G501" s="117"/>
      <c r="H501" s="118"/>
      <c r="I501" s="65" t="s">
        <v>260</v>
      </c>
      <c r="J501" s="66"/>
      <c r="K501" s="66"/>
      <c r="L501" s="66"/>
      <c r="M501" s="66"/>
    </row>
    <row r="502" spans="1:13" s="69" customFormat="1" ht="17.25" x14ac:dyDescent="0.35">
      <c r="A502" s="116"/>
      <c r="B502" s="117"/>
      <c r="C502" s="117"/>
      <c r="D502" s="117" t="s">
        <v>36</v>
      </c>
      <c r="E502" s="117">
        <v>1</v>
      </c>
      <c r="F502" s="117">
        <v>0</v>
      </c>
      <c r="G502" s="117"/>
      <c r="H502" s="118"/>
      <c r="I502" s="65" t="s">
        <v>261</v>
      </c>
      <c r="J502" s="66"/>
      <c r="K502" s="66"/>
      <c r="L502" s="66"/>
      <c r="M502" s="66"/>
    </row>
    <row r="503" spans="1:13" s="69" customFormat="1" ht="17.25" x14ac:dyDescent="0.35">
      <c r="A503" s="116"/>
      <c r="B503" s="117"/>
      <c r="C503" s="117"/>
      <c r="D503" s="117" t="s">
        <v>36</v>
      </c>
      <c r="E503" s="117">
        <v>2</v>
      </c>
      <c r="F503" s="117">
        <v>0</v>
      </c>
      <c r="G503" s="117"/>
      <c r="H503" s="118"/>
      <c r="I503" s="65" t="s">
        <v>262</v>
      </c>
      <c r="J503" s="66"/>
      <c r="K503" s="66"/>
      <c r="L503" s="66"/>
      <c r="M503" s="66"/>
    </row>
    <row r="504" spans="1:13" s="69" customFormat="1" ht="17.25" x14ac:dyDescent="0.35">
      <c r="A504" s="116"/>
      <c r="B504" s="117"/>
      <c r="C504" s="117"/>
      <c r="D504" s="117" t="s">
        <v>36</v>
      </c>
      <c r="E504" s="117">
        <v>1</v>
      </c>
      <c r="F504" s="117">
        <v>0</v>
      </c>
      <c r="G504" s="117"/>
      <c r="H504" s="118"/>
      <c r="I504" s="65" t="s">
        <v>263</v>
      </c>
      <c r="J504" s="66"/>
      <c r="K504" s="66"/>
      <c r="L504" s="66"/>
      <c r="M504" s="66"/>
    </row>
    <row r="505" spans="1:13" s="69" customFormat="1" ht="17.25" x14ac:dyDescent="0.35">
      <c r="A505" s="116"/>
      <c r="B505" s="117"/>
      <c r="C505" s="117"/>
      <c r="D505" s="117" t="s">
        <v>36</v>
      </c>
      <c r="E505" s="117">
        <v>1</v>
      </c>
      <c r="F505" s="117">
        <v>0</v>
      </c>
      <c r="G505" s="117"/>
      <c r="H505" s="118"/>
      <c r="I505" s="65" t="s">
        <v>264</v>
      </c>
      <c r="J505" s="66"/>
      <c r="K505" s="66"/>
      <c r="L505" s="66"/>
      <c r="M505" s="66"/>
    </row>
    <row r="506" spans="1:13" s="69" customFormat="1" ht="17.25" x14ac:dyDescent="0.35">
      <c r="A506" s="116"/>
      <c r="B506" s="117"/>
      <c r="C506" s="117"/>
      <c r="D506" s="179" t="s">
        <v>36</v>
      </c>
      <c r="E506" s="117">
        <v>2</v>
      </c>
      <c r="F506" s="179">
        <v>0</v>
      </c>
      <c r="G506" s="179"/>
      <c r="H506" s="180"/>
      <c r="I506" s="181" t="s">
        <v>265</v>
      </c>
      <c r="J506" s="66"/>
      <c r="K506" s="66"/>
      <c r="L506" s="66"/>
      <c r="M506" s="66"/>
    </row>
    <row r="507" spans="1:13" s="69" customFormat="1" ht="17.25" x14ac:dyDescent="0.35">
      <c r="A507" s="116"/>
      <c r="B507" s="117"/>
      <c r="C507" s="117"/>
      <c r="D507" s="117" t="s">
        <v>36</v>
      </c>
      <c r="E507" s="117">
        <v>1</v>
      </c>
      <c r="F507" s="117">
        <v>0</v>
      </c>
      <c r="G507" s="117"/>
      <c r="H507" s="118"/>
      <c r="I507" s="65" t="s">
        <v>266</v>
      </c>
      <c r="J507" s="66"/>
      <c r="K507" s="66"/>
      <c r="L507" s="66"/>
      <c r="M507" s="66"/>
    </row>
    <row r="508" spans="1:13" s="69" customFormat="1" ht="17.25" x14ac:dyDescent="0.35">
      <c r="A508" s="116"/>
      <c r="B508" s="117"/>
      <c r="C508" s="117"/>
      <c r="D508" s="117" t="s">
        <v>36</v>
      </c>
      <c r="E508" s="117">
        <v>2</v>
      </c>
      <c r="F508" s="117">
        <v>0</v>
      </c>
      <c r="G508" s="117"/>
      <c r="H508" s="118"/>
      <c r="I508" s="65" t="s">
        <v>267</v>
      </c>
      <c r="J508" s="66"/>
      <c r="K508" s="66"/>
      <c r="L508" s="66"/>
      <c r="M508" s="66"/>
    </row>
    <row r="509" spans="1:13" s="69" customFormat="1" ht="17.25" x14ac:dyDescent="0.35">
      <c r="A509" s="116"/>
      <c r="B509" s="117"/>
      <c r="C509" s="117"/>
      <c r="D509" s="117" t="s">
        <v>36</v>
      </c>
      <c r="E509" s="117">
        <v>1</v>
      </c>
      <c r="F509" s="117">
        <v>0</v>
      </c>
      <c r="G509" s="117"/>
      <c r="H509" s="118"/>
      <c r="I509" s="65" t="s">
        <v>268</v>
      </c>
      <c r="J509" s="66"/>
      <c r="K509" s="66"/>
      <c r="L509" s="66"/>
      <c r="M509" s="66"/>
    </row>
    <row r="510" spans="1:13" s="69" customFormat="1" ht="17.25" x14ac:dyDescent="0.35">
      <c r="A510" s="116"/>
      <c r="B510" s="117"/>
      <c r="C510" s="117"/>
      <c r="D510" s="117" t="s">
        <v>36</v>
      </c>
      <c r="E510" s="117">
        <v>1</v>
      </c>
      <c r="F510" s="117">
        <v>0</v>
      </c>
      <c r="G510" s="117"/>
      <c r="H510" s="118"/>
      <c r="I510" s="65" t="s">
        <v>269</v>
      </c>
      <c r="J510" s="66"/>
      <c r="K510" s="66"/>
      <c r="L510" s="66"/>
      <c r="M510" s="66"/>
    </row>
    <row r="511" spans="1:13" s="69" customFormat="1" ht="33" customHeight="1" x14ac:dyDescent="0.35">
      <c r="A511" s="116"/>
      <c r="B511" s="117"/>
      <c r="C511" s="117"/>
      <c r="D511" s="117" t="s">
        <v>36</v>
      </c>
      <c r="E511" s="117">
        <v>2</v>
      </c>
      <c r="F511" s="117">
        <v>0</v>
      </c>
      <c r="G511" s="117"/>
      <c r="H511" s="118"/>
      <c r="I511" s="65" t="s">
        <v>270</v>
      </c>
      <c r="J511" s="66"/>
      <c r="K511" s="66"/>
      <c r="L511" s="66"/>
      <c r="M511" s="66"/>
    </row>
    <row r="512" spans="1:13" s="70" customFormat="1" ht="17.25" x14ac:dyDescent="0.35">
      <c r="A512" s="116"/>
      <c r="B512" s="117"/>
      <c r="C512" s="117"/>
      <c r="D512" s="179" t="s">
        <v>36</v>
      </c>
      <c r="E512" s="117">
        <v>1</v>
      </c>
      <c r="F512" s="179">
        <v>0</v>
      </c>
      <c r="G512" s="179"/>
      <c r="H512" s="180"/>
      <c r="I512" s="181" t="s">
        <v>271</v>
      </c>
      <c r="J512" s="30"/>
      <c r="K512" s="30"/>
      <c r="L512" s="30"/>
      <c r="M512" s="30"/>
    </row>
    <row r="513" spans="1:13" s="70" customFormat="1" ht="17.25" x14ac:dyDescent="0.35">
      <c r="A513" s="116"/>
      <c r="B513" s="117"/>
      <c r="C513" s="117"/>
      <c r="D513" s="117" t="s">
        <v>36</v>
      </c>
      <c r="E513" s="117">
        <v>2</v>
      </c>
      <c r="F513" s="117">
        <v>0</v>
      </c>
      <c r="G513" s="117"/>
      <c r="H513" s="118"/>
      <c r="I513" s="65" t="s">
        <v>272</v>
      </c>
      <c r="J513" s="30"/>
      <c r="K513" s="30"/>
      <c r="L513" s="30"/>
      <c r="M513" s="30"/>
    </row>
    <row r="514" spans="1:13" s="70" customFormat="1" ht="17.25" x14ac:dyDescent="0.35">
      <c r="A514" s="116"/>
      <c r="B514" s="117"/>
      <c r="C514" s="117"/>
      <c r="D514" s="117" t="s">
        <v>36</v>
      </c>
      <c r="E514" s="117">
        <v>1</v>
      </c>
      <c r="F514" s="117">
        <v>0</v>
      </c>
      <c r="G514" s="117"/>
      <c r="H514" s="118"/>
      <c r="I514" s="65" t="s">
        <v>273</v>
      </c>
      <c r="J514" s="30"/>
      <c r="K514" s="30"/>
      <c r="L514" s="30"/>
      <c r="M514" s="30"/>
    </row>
    <row r="515" spans="1:13" s="70" customFormat="1" ht="17.25" x14ac:dyDescent="0.35">
      <c r="A515" s="116"/>
      <c r="B515" s="117"/>
      <c r="C515" s="117"/>
      <c r="D515" s="117" t="s">
        <v>36</v>
      </c>
      <c r="E515" s="117">
        <v>1</v>
      </c>
      <c r="F515" s="117">
        <v>0</v>
      </c>
      <c r="G515" s="117"/>
      <c r="H515" s="118"/>
      <c r="I515" s="65" t="s">
        <v>274</v>
      </c>
      <c r="J515" s="30"/>
      <c r="K515" s="30"/>
      <c r="L515" s="30"/>
      <c r="M515" s="30"/>
    </row>
    <row r="516" spans="1:13" s="70" customFormat="1" ht="17.25" x14ac:dyDescent="0.35">
      <c r="A516" s="116"/>
      <c r="B516" s="117"/>
      <c r="C516" s="117"/>
      <c r="D516" s="117" t="s">
        <v>36</v>
      </c>
      <c r="E516" s="117">
        <v>2</v>
      </c>
      <c r="F516" s="117">
        <v>272</v>
      </c>
      <c r="G516" s="117"/>
      <c r="H516" s="118"/>
      <c r="I516" s="65" t="s">
        <v>275</v>
      </c>
      <c r="J516" s="30"/>
      <c r="K516" s="30"/>
      <c r="L516" s="30"/>
      <c r="M516" s="30"/>
    </row>
    <row r="517" spans="1:13" s="70" customFormat="1" ht="17.25" x14ac:dyDescent="0.35">
      <c r="A517" s="116"/>
      <c r="B517" s="117"/>
      <c r="C517" s="117"/>
      <c r="D517" s="117" t="s">
        <v>36</v>
      </c>
      <c r="E517" s="117">
        <v>1</v>
      </c>
      <c r="F517" s="117">
        <v>48</v>
      </c>
      <c r="G517" s="117"/>
      <c r="H517" s="118"/>
      <c r="I517" s="65" t="s">
        <v>276</v>
      </c>
      <c r="J517" s="30"/>
      <c r="K517" s="30"/>
      <c r="L517" s="30"/>
      <c r="M517" s="30"/>
    </row>
    <row r="518" spans="1:13" s="70" customFormat="1" ht="17.25" x14ac:dyDescent="0.35">
      <c r="A518" s="116"/>
      <c r="B518" s="117"/>
      <c r="C518" s="117"/>
      <c r="D518" s="179" t="s">
        <v>36</v>
      </c>
      <c r="E518" s="117">
        <v>2</v>
      </c>
      <c r="F518" s="179">
        <v>7</v>
      </c>
      <c r="G518" s="179"/>
      <c r="H518" s="180"/>
      <c r="I518" s="181" t="s">
        <v>277</v>
      </c>
      <c r="J518" s="30"/>
      <c r="K518" s="30"/>
      <c r="L518" s="30"/>
      <c r="M518" s="30"/>
    </row>
    <row r="519" spans="1:13" s="70" customFormat="1" ht="17.25" x14ac:dyDescent="0.35">
      <c r="A519" s="116"/>
      <c r="B519" s="117"/>
      <c r="C519" s="117"/>
      <c r="D519" s="117" t="s">
        <v>36</v>
      </c>
      <c r="E519" s="117">
        <v>1</v>
      </c>
      <c r="F519" s="117">
        <v>136</v>
      </c>
      <c r="G519" s="117"/>
      <c r="H519" s="118"/>
      <c r="I519" s="65" t="s">
        <v>278</v>
      </c>
      <c r="J519" s="30"/>
      <c r="K519" s="30"/>
      <c r="L519" s="30"/>
      <c r="M519" s="30"/>
    </row>
    <row r="520" spans="1:13" s="70" customFormat="1" ht="17.25" x14ac:dyDescent="0.35">
      <c r="A520" s="116"/>
      <c r="B520" s="117"/>
      <c r="C520" s="117"/>
      <c r="D520" s="117" t="s">
        <v>36</v>
      </c>
      <c r="E520" s="117">
        <v>1</v>
      </c>
      <c r="F520" s="117">
        <v>80</v>
      </c>
      <c r="G520" s="117"/>
      <c r="H520" s="118"/>
      <c r="I520" s="65" t="s">
        <v>279</v>
      </c>
      <c r="J520" s="30"/>
      <c r="K520" s="30"/>
      <c r="L520" s="30"/>
      <c r="M520" s="30"/>
    </row>
    <row r="521" spans="1:13" s="70" customFormat="1" ht="17.25" x14ac:dyDescent="0.35">
      <c r="A521" s="116"/>
      <c r="B521" s="117"/>
      <c r="C521" s="117"/>
      <c r="D521" s="117" t="s">
        <v>36</v>
      </c>
      <c r="E521" s="117">
        <v>2</v>
      </c>
      <c r="F521" s="117">
        <v>0</v>
      </c>
      <c r="G521" s="117"/>
      <c r="H521" s="118"/>
      <c r="I521" s="65" t="s">
        <v>280</v>
      </c>
      <c r="J521" s="30"/>
      <c r="K521" s="30"/>
      <c r="L521" s="30"/>
      <c r="M521" s="30"/>
    </row>
    <row r="522" spans="1:13" s="70" customFormat="1" ht="17.25" x14ac:dyDescent="0.35">
      <c r="A522" s="116"/>
      <c r="B522" s="117"/>
      <c r="C522" s="117"/>
      <c r="D522" s="117" t="s">
        <v>36</v>
      </c>
      <c r="E522" s="117">
        <v>2</v>
      </c>
      <c r="F522" s="117">
        <v>0</v>
      </c>
      <c r="G522" s="117"/>
      <c r="H522" s="118"/>
      <c r="I522" s="65" t="s">
        <v>281</v>
      </c>
      <c r="J522" s="30"/>
      <c r="K522" s="30"/>
      <c r="L522" s="30"/>
      <c r="M522" s="30"/>
    </row>
    <row r="523" spans="1:13" s="70" customFormat="1" ht="17.25" x14ac:dyDescent="0.35">
      <c r="A523" s="116"/>
      <c r="B523" s="117"/>
      <c r="C523" s="117"/>
      <c r="D523" s="117" t="s">
        <v>36</v>
      </c>
      <c r="E523" s="117">
        <v>2</v>
      </c>
      <c r="F523" s="117">
        <v>20992</v>
      </c>
      <c r="G523" s="117"/>
      <c r="H523" s="118"/>
      <c r="I523" s="65" t="s">
        <v>282</v>
      </c>
      <c r="J523" s="30"/>
      <c r="K523" s="30"/>
      <c r="L523" s="30"/>
      <c r="M523" s="30"/>
    </row>
    <row r="524" spans="1:13" s="70" customFormat="1" ht="17.25" x14ac:dyDescent="0.35">
      <c r="A524" s="116"/>
      <c r="B524" s="117"/>
      <c r="C524" s="117"/>
      <c r="D524" s="179" t="s">
        <v>36</v>
      </c>
      <c r="E524" s="117">
        <v>2</v>
      </c>
      <c r="F524" s="179">
        <v>0</v>
      </c>
      <c r="G524" s="179"/>
      <c r="H524" s="180"/>
      <c r="I524" s="181" t="s">
        <v>283</v>
      </c>
      <c r="J524" s="30"/>
      <c r="K524" s="30"/>
      <c r="L524" s="30"/>
      <c r="M524" s="30"/>
    </row>
    <row r="525" spans="1:13" s="70" customFormat="1" ht="17.25" x14ac:dyDescent="0.35">
      <c r="A525" s="116"/>
      <c r="B525" s="117"/>
      <c r="C525" s="117"/>
      <c r="D525" s="117" t="s">
        <v>36</v>
      </c>
      <c r="E525" s="117">
        <v>2</v>
      </c>
      <c r="F525" s="117">
        <v>37376</v>
      </c>
      <c r="G525" s="117"/>
      <c r="H525" s="118"/>
      <c r="I525" s="65" t="s">
        <v>284</v>
      </c>
      <c r="J525" s="30"/>
      <c r="K525" s="30"/>
      <c r="L525" s="30"/>
      <c r="M525" s="30"/>
    </row>
    <row r="526" spans="1:13" s="70" customFormat="1" ht="17.25" x14ac:dyDescent="0.35">
      <c r="A526" s="116"/>
      <c r="B526" s="117"/>
      <c r="C526" s="117"/>
      <c r="D526" s="117" t="s">
        <v>36</v>
      </c>
      <c r="E526" s="117">
        <v>2</v>
      </c>
      <c r="F526" s="117">
        <v>0</v>
      </c>
      <c r="G526" s="117"/>
      <c r="H526" s="118"/>
      <c r="I526" s="65" t="s">
        <v>285</v>
      </c>
      <c r="J526" s="30"/>
      <c r="K526" s="30"/>
      <c r="L526" s="30"/>
      <c r="M526" s="30"/>
    </row>
    <row r="527" spans="1:13" s="70" customFormat="1" ht="17.25" x14ac:dyDescent="0.35">
      <c r="A527" s="116"/>
      <c r="B527" s="117"/>
      <c r="C527" s="117"/>
      <c r="D527" s="117" t="s">
        <v>36</v>
      </c>
      <c r="E527" s="117">
        <v>2</v>
      </c>
      <c r="F527" s="117">
        <v>0</v>
      </c>
      <c r="G527" s="117"/>
      <c r="H527" s="118"/>
      <c r="I527" s="65" t="s">
        <v>286</v>
      </c>
      <c r="J527" s="30"/>
      <c r="K527" s="30"/>
      <c r="L527" s="30"/>
      <c r="M527" s="30"/>
    </row>
    <row r="528" spans="1:13" s="70" customFormat="1" ht="17.25" x14ac:dyDescent="0.35">
      <c r="A528" s="116"/>
      <c r="B528" s="117"/>
      <c r="C528" s="117"/>
      <c r="D528" s="117" t="s">
        <v>36</v>
      </c>
      <c r="E528" s="117">
        <v>2</v>
      </c>
      <c r="F528" s="117">
        <v>0</v>
      </c>
      <c r="G528" s="117"/>
      <c r="H528" s="118"/>
      <c r="I528" s="65" t="s">
        <v>287</v>
      </c>
      <c r="J528" s="30"/>
      <c r="K528" s="30"/>
      <c r="L528" s="30"/>
      <c r="M528" s="30"/>
    </row>
    <row r="529" spans="1:13" s="70" customFormat="1" ht="17.25" x14ac:dyDescent="0.35">
      <c r="A529" s="116"/>
      <c r="B529" s="117"/>
      <c r="C529" s="117"/>
      <c r="D529" s="117" t="s">
        <v>36</v>
      </c>
      <c r="E529" s="117">
        <v>2</v>
      </c>
      <c r="F529" s="117">
        <v>0</v>
      </c>
      <c r="G529" s="117"/>
      <c r="H529" s="118"/>
      <c r="I529" s="65" t="s">
        <v>288</v>
      </c>
      <c r="J529" s="30"/>
      <c r="K529" s="30"/>
      <c r="L529" s="30"/>
      <c r="M529" s="30"/>
    </row>
    <row r="530" spans="1:13" s="70" customFormat="1" ht="17.25" x14ac:dyDescent="0.35">
      <c r="A530" s="116"/>
      <c r="B530" s="117"/>
      <c r="C530" s="117"/>
      <c r="D530" s="179" t="s">
        <v>36</v>
      </c>
      <c r="E530" s="117">
        <v>2</v>
      </c>
      <c r="F530" s="179">
        <v>0</v>
      </c>
      <c r="G530" s="179"/>
      <c r="H530" s="180"/>
      <c r="I530" s="181" t="s">
        <v>289</v>
      </c>
      <c r="J530" s="30"/>
      <c r="K530" s="30"/>
      <c r="L530" s="30"/>
      <c r="M530" s="30"/>
    </row>
    <row r="531" spans="1:13" s="70" customFormat="1" ht="17.25" x14ac:dyDescent="0.35">
      <c r="A531" s="116"/>
      <c r="B531" s="117"/>
      <c r="C531" s="117"/>
      <c r="D531" s="117" t="s">
        <v>36</v>
      </c>
      <c r="E531" s="117">
        <v>2</v>
      </c>
      <c r="F531" s="117">
        <v>0</v>
      </c>
      <c r="G531" s="117"/>
      <c r="H531" s="118"/>
      <c r="I531" s="65" t="s">
        <v>290</v>
      </c>
      <c r="J531" s="30"/>
      <c r="K531" s="30"/>
      <c r="L531" s="30"/>
      <c r="M531" s="30"/>
    </row>
    <row r="532" spans="1:13" s="70" customFormat="1" ht="17.25" x14ac:dyDescent="0.35">
      <c r="A532" s="116"/>
      <c r="B532" s="117"/>
      <c r="C532" s="117"/>
      <c r="D532" s="117" t="s">
        <v>36</v>
      </c>
      <c r="E532" s="117">
        <v>2</v>
      </c>
      <c r="F532" s="117">
        <v>0</v>
      </c>
      <c r="G532" s="117"/>
      <c r="H532" s="118"/>
      <c r="I532" s="65" t="s">
        <v>291</v>
      </c>
      <c r="J532" s="30"/>
      <c r="K532" s="30"/>
      <c r="L532" s="30"/>
      <c r="M532" s="30"/>
    </row>
    <row r="533" spans="1:13" s="70" customFormat="1" ht="17.25" x14ac:dyDescent="0.35">
      <c r="A533" s="116"/>
      <c r="B533" s="117"/>
      <c r="C533" s="117"/>
      <c r="D533" s="117" t="s">
        <v>36</v>
      </c>
      <c r="E533" s="117">
        <v>2</v>
      </c>
      <c r="F533" s="117">
        <v>0</v>
      </c>
      <c r="G533" s="117"/>
      <c r="H533" s="118"/>
      <c r="I533" s="65" t="s">
        <v>292</v>
      </c>
      <c r="J533" s="30"/>
      <c r="K533" s="30"/>
      <c r="L533" s="30"/>
      <c r="M533" s="30"/>
    </row>
    <row r="534" spans="1:13" s="70" customFormat="1" ht="17.25" x14ac:dyDescent="0.35">
      <c r="A534" s="116"/>
      <c r="B534" s="117"/>
      <c r="C534" s="117"/>
      <c r="D534" s="117" t="s">
        <v>36</v>
      </c>
      <c r="E534" s="117">
        <v>2</v>
      </c>
      <c r="F534" s="117">
        <v>0</v>
      </c>
      <c r="G534" s="117"/>
      <c r="H534" s="118"/>
      <c r="I534" s="65" t="s">
        <v>293</v>
      </c>
      <c r="J534" s="30"/>
      <c r="K534" s="30"/>
      <c r="L534" s="30"/>
      <c r="M534" s="30"/>
    </row>
    <row r="535" spans="1:13" s="70" customFormat="1" ht="17.25" x14ac:dyDescent="0.35">
      <c r="A535" s="116"/>
      <c r="B535" s="117"/>
      <c r="C535" s="117"/>
      <c r="D535" s="117" t="s">
        <v>36</v>
      </c>
      <c r="E535" s="117">
        <v>2</v>
      </c>
      <c r="F535" s="117">
        <v>0</v>
      </c>
      <c r="G535" s="117"/>
      <c r="H535" s="118"/>
      <c r="I535" s="65" t="s">
        <v>294</v>
      </c>
      <c r="J535" s="30"/>
      <c r="K535" s="30"/>
      <c r="L535" s="30"/>
      <c r="M535" s="30"/>
    </row>
    <row r="536" spans="1:13" s="70" customFormat="1" ht="17.25" x14ac:dyDescent="0.35">
      <c r="A536" s="116"/>
      <c r="B536" s="117"/>
      <c r="C536" s="117"/>
      <c r="D536" s="117" t="s">
        <v>36</v>
      </c>
      <c r="E536" s="117">
        <v>2</v>
      </c>
      <c r="F536" s="117">
        <v>0</v>
      </c>
      <c r="G536" s="117"/>
      <c r="H536" s="118"/>
      <c r="I536" s="65" t="s">
        <v>295</v>
      </c>
      <c r="J536" s="30"/>
      <c r="K536" s="30"/>
      <c r="L536" s="30"/>
      <c r="M536" s="30"/>
    </row>
    <row r="537" spans="1:13" s="70" customFormat="1" ht="17.25" x14ac:dyDescent="0.35">
      <c r="A537" s="116"/>
      <c r="B537" s="117"/>
      <c r="C537" s="117"/>
      <c r="D537" s="117" t="s">
        <v>36</v>
      </c>
      <c r="E537" s="117">
        <v>2</v>
      </c>
      <c r="F537" s="117">
        <v>0</v>
      </c>
      <c r="G537" s="117"/>
      <c r="H537" s="118"/>
      <c r="I537" s="65" t="s">
        <v>296</v>
      </c>
      <c r="J537" s="30"/>
      <c r="K537" s="30"/>
      <c r="L537" s="30"/>
      <c r="M537" s="30"/>
    </row>
    <row r="538" spans="1:13" s="70" customFormat="1" ht="17.25" x14ac:dyDescent="0.35">
      <c r="A538" s="116"/>
      <c r="B538" s="117"/>
      <c r="C538" s="117"/>
      <c r="D538" s="117" t="s">
        <v>36</v>
      </c>
      <c r="E538" s="117">
        <v>2</v>
      </c>
      <c r="F538" s="117">
        <v>0</v>
      </c>
      <c r="G538" s="117"/>
      <c r="H538" s="118"/>
      <c r="I538" s="65" t="s">
        <v>297</v>
      </c>
      <c r="J538" s="30"/>
      <c r="K538" s="30"/>
      <c r="L538" s="30"/>
      <c r="M538" s="30"/>
    </row>
    <row r="539" spans="1:13" s="70" customFormat="1" ht="17.25" x14ac:dyDescent="0.35">
      <c r="A539" s="116"/>
      <c r="B539" s="117"/>
      <c r="C539" s="117"/>
      <c r="D539" s="117" t="s">
        <v>36</v>
      </c>
      <c r="E539" s="117">
        <v>2</v>
      </c>
      <c r="F539" s="117">
        <v>0</v>
      </c>
      <c r="G539" s="117"/>
      <c r="H539" s="118"/>
      <c r="I539" s="65" t="s">
        <v>298</v>
      </c>
      <c r="J539" s="30"/>
      <c r="K539" s="30"/>
      <c r="L539" s="30"/>
      <c r="M539" s="30"/>
    </row>
    <row r="540" spans="1:13" s="70" customFormat="1" ht="17.25" x14ac:dyDescent="0.35">
      <c r="A540" s="116"/>
      <c r="B540" s="117"/>
      <c r="C540" s="117"/>
      <c r="D540" s="117" t="s">
        <v>36</v>
      </c>
      <c r="E540" s="117">
        <v>2</v>
      </c>
      <c r="F540" s="117">
        <v>0</v>
      </c>
      <c r="G540" s="117"/>
      <c r="H540" s="118"/>
      <c r="I540" s="65" t="s">
        <v>299</v>
      </c>
      <c r="J540" s="30"/>
      <c r="K540" s="30"/>
      <c r="L540" s="30"/>
      <c r="M540" s="30"/>
    </row>
    <row r="541" spans="1:13" s="64" customFormat="1" ht="17.25" x14ac:dyDescent="0.35">
      <c r="A541" s="116"/>
      <c r="B541" s="117"/>
      <c r="C541" s="117"/>
      <c r="D541" s="117" t="s">
        <v>36</v>
      </c>
      <c r="E541" s="117">
        <v>2</v>
      </c>
      <c r="F541" s="117">
        <v>7</v>
      </c>
      <c r="G541" s="117"/>
      <c r="H541" s="118"/>
      <c r="I541" s="65" t="s">
        <v>300</v>
      </c>
      <c r="J541" s="13"/>
      <c r="K541" s="13"/>
      <c r="L541" s="13"/>
      <c r="M541" s="13"/>
    </row>
    <row r="542" spans="1:13" ht="17.25" x14ac:dyDescent="0.35">
      <c r="A542" s="116"/>
      <c r="B542" s="117"/>
      <c r="C542" s="117"/>
      <c r="D542" s="117" t="s">
        <v>36</v>
      </c>
      <c r="E542" s="117">
        <v>1</v>
      </c>
      <c r="F542" s="117">
        <v>0</v>
      </c>
      <c r="G542" s="117"/>
      <c r="H542" s="118"/>
      <c r="I542" s="65" t="s">
        <v>301</v>
      </c>
      <c r="J542" s="26"/>
      <c r="K542" s="26"/>
      <c r="L542" s="26"/>
      <c r="M542" s="26"/>
    </row>
    <row r="543" spans="1:13" ht="17.25" x14ac:dyDescent="0.35">
      <c r="A543" s="116"/>
      <c r="B543" s="117"/>
      <c r="C543" s="117"/>
      <c r="D543" s="117" t="s">
        <v>36</v>
      </c>
      <c r="E543" s="117">
        <v>1</v>
      </c>
      <c r="F543" s="117">
        <v>0</v>
      </c>
      <c r="G543" s="117"/>
      <c r="H543" s="118"/>
      <c r="I543" s="65" t="s">
        <v>302</v>
      </c>
      <c r="J543" s="26"/>
      <c r="K543" s="26"/>
      <c r="L543" s="26"/>
      <c r="M543" s="26"/>
    </row>
    <row r="544" spans="1:13" ht="17.25" x14ac:dyDescent="0.35">
      <c r="A544" s="116"/>
      <c r="B544" s="117"/>
      <c r="C544" s="117"/>
      <c r="D544" s="117" t="s">
        <v>36</v>
      </c>
      <c r="E544" s="117">
        <v>1</v>
      </c>
      <c r="F544" s="117">
        <v>2</v>
      </c>
      <c r="G544" s="117"/>
      <c r="H544" s="118"/>
      <c r="I544" s="65" t="s">
        <v>303</v>
      </c>
      <c r="J544" s="26"/>
      <c r="K544" s="26"/>
      <c r="L544" s="26"/>
      <c r="M544" s="26"/>
    </row>
    <row r="545" spans="1:13" ht="17.25" x14ac:dyDescent="0.35">
      <c r="A545" s="116"/>
      <c r="B545" s="117"/>
      <c r="C545" s="117"/>
      <c r="D545" s="117" t="s">
        <v>36</v>
      </c>
      <c r="E545" s="117">
        <v>1</v>
      </c>
      <c r="F545" s="117">
        <v>3</v>
      </c>
      <c r="G545" s="117"/>
      <c r="H545" s="118"/>
      <c r="I545" s="65" t="s">
        <v>304</v>
      </c>
      <c r="J545" s="26"/>
      <c r="K545" s="26"/>
      <c r="L545" s="26"/>
      <c r="M545" s="26"/>
    </row>
    <row r="546" spans="1:13" ht="17.25" x14ac:dyDescent="0.35">
      <c r="A546" s="116"/>
      <c r="B546" s="117"/>
      <c r="C546" s="117"/>
      <c r="D546" s="117" t="s">
        <v>36</v>
      </c>
      <c r="E546" s="117">
        <v>1</v>
      </c>
      <c r="F546" s="117">
        <v>1</v>
      </c>
      <c r="G546" s="117"/>
      <c r="H546" s="118"/>
      <c r="I546" s="65" t="s">
        <v>305</v>
      </c>
      <c r="J546" s="26"/>
      <c r="K546" s="26"/>
      <c r="L546" s="26"/>
      <c r="M546" s="26"/>
    </row>
    <row r="547" spans="1:13" s="26" customFormat="1" ht="17.25" x14ac:dyDescent="0.35">
      <c r="A547" s="116"/>
      <c r="B547" s="117"/>
      <c r="C547" s="117"/>
      <c r="D547" s="117" t="s">
        <v>36</v>
      </c>
      <c r="E547" s="117">
        <v>2</v>
      </c>
      <c r="F547" s="117">
        <v>32775</v>
      </c>
      <c r="G547" s="117"/>
      <c r="H547" s="118"/>
      <c r="I547" s="65" t="s">
        <v>306</v>
      </c>
    </row>
    <row r="548" spans="1:13" s="26" customFormat="1" ht="17.25" x14ac:dyDescent="0.35">
      <c r="A548" s="116"/>
      <c r="B548" s="117"/>
      <c r="C548" s="117"/>
      <c r="D548" s="117" t="s">
        <v>37</v>
      </c>
      <c r="E548" s="117">
        <v>50</v>
      </c>
      <c r="F548" s="117" t="s">
        <v>221</v>
      </c>
      <c r="G548" s="117"/>
      <c r="H548" s="118"/>
      <c r="I548" s="65" t="s">
        <v>307</v>
      </c>
    </row>
    <row r="549" spans="1:13" s="26" customFormat="1" ht="17.25" x14ac:dyDescent="0.35">
      <c r="A549" s="116"/>
      <c r="B549" s="117"/>
      <c r="C549" s="117"/>
      <c r="D549" s="117" t="s">
        <v>37</v>
      </c>
      <c r="E549" s="117">
        <v>50</v>
      </c>
      <c r="F549" s="117"/>
      <c r="G549" s="117"/>
      <c r="H549" s="118"/>
      <c r="I549" s="65" t="s">
        <v>308</v>
      </c>
    </row>
    <row r="550" spans="1:13" s="26" customFormat="1" ht="17.25" x14ac:dyDescent="0.35">
      <c r="A550" s="116"/>
      <c r="B550" s="117"/>
      <c r="C550" s="117"/>
      <c r="D550" s="117" t="s">
        <v>37</v>
      </c>
      <c r="E550" s="117">
        <v>50</v>
      </c>
      <c r="F550" s="117"/>
      <c r="G550" s="117"/>
      <c r="H550" s="118"/>
      <c r="I550" s="65" t="s">
        <v>309</v>
      </c>
    </row>
    <row r="551" spans="1:13" s="26" customFormat="1" ht="17.25" x14ac:dyDescent="0.35">
      <c r="A551" s="116"/>
      <c r="B551" s="117"/>
      <c r="C551" s="117"/>
      <c r="D551" s="117" t="s">
        <v>36</v>
      </c>
      <c r="E551" s="117">
        <v>1</v>
      </c>
      <c r="F551" s="117">
        <v>2</v>
      </c>
      <c r="G551" s="117"/>
      <c r="H551" s="118"/>
      <c r="I551" s="65" t="s">
        <v>1025</v>
      </c>
    </row>
    <row r="552" spans="1:13" s="26" customFormat="1" ht="17.25" x14ac:dyDescent="0.35">
      <c r="A552" s="116"/>
      <c r="B552" s="117"/>
      <c r="C552" s="117"/>
      <c r="D552" s="117" t="s">
        <v>37</v>
      </c>
      <c r="E552" s="117">
        <v>753</v>
      </c>
      <c r="F552" s="117"/>
      <c r="G552" s="117"/>
      <c r="H552" s="118"/>
      <c r="I552" s="65" t="s">
        <v>222</v>
      </c>
    </row>
    <row r="553" spans="1:13" ht="17.25" x14ac:dyDescent="0.35">
      <c r="A553" s="116" t="s">
        <v>357</v>
      </c>
      <c r="B553" s="117" t="s">
        <v>358</v>
      </c>
      <c r="C553" s="117" t="s">
        <v>58</v>
      </c>
      <c r="D553" s="117"/>
      <c r="E553" s="117"/>
      <c r="F553" s="117"/>
      <c r="G553" s="136" t="s">
        <v>591</v>
      </c>
      <c r="H553" s="118"/>
      <c r="I553" s="65">
        <v>71581</v>
      </c>
    </row>
    <row r="554" spans="1:13" ht="17.25" x14ac:dyDescent="0.35">
      <c r="A554" s="116"/>
      <c r="B554" s="117"/>
      <c r="C554" s="117"/>
      <c r="D554" s="117" t="s">
        <v>36</v>
      </c>
      <c r="E554" s="117">
        <v>1</v>
      </c>
      <c r="F554" s="117"/>
      <c r="G554" s="117"/>
      <c r="H554" s="118"/>
      <c r="I554" s="65" t="s">
        <v>223</v>
      </c>
    </row>
    <row r="555" spans="1:13" ht="17.25" x14ac:dyDescent="0.35">
      <c r="A555" s="116"/>
      <c r="B555" s="117"/>
      <c r="C555" s="117"/>
      <c r="D555" s="117" t="s">
        <v>36</v>
      </c>
      <c r="E555" s="117">
        <v>4</v>
      </c>
      <c r="F555" s="117"/>
      <c r="G555" s="117"/>
      <c r="H555" s="118"/>
      <c r="I555" s="65" t="s">
        <v>359</v>
      </c>
    </row>
    <row r="556" spans="1:13" ht="17.25" x14ac:dyDescent="0.35">
      <c r="A556" s="116"/>
      <c r="B556" s="117"/>
      <c r="C556" s="117"/>
      <c r="D556" s="117" t="s">
        <v>36</v>
      </c>
      <c r="E556" s="117">
        <v>4</v>
      </c>
      <c r="F556" s="117"/>
      <c r="G556" s="117"/>
      <c r="H556" s="118"/>
      <c r="I556" s="65" t="s">
        <v>360</v>
      </c>
    </row>
    <row r="557" spans="1:13" ht="17.25" x14ac:dyDescent="0.35">
      <c r="A557" s="116"/>
      <c r="B557" s="117"/>
      <c r="C557" s="117"/>
      <c r="D557" s="117" t="s">
        <v>36</v>
      </c>
      <c r="E557" s="117">
        <v>2</v>
      </c>
      <c r="F557" s="117"/>
      <c r="G557" s="117"/>
      <c r="H557" s="118"/>
      <c r="I557" s="65" t="s">
        <v>361</v>
      </c>
    </row>
    <row r="558" spans="1:13" ht="17.25" x14ac:dyDescent="0.35">
      <c r="A558" s="116"/>
      <c r="B558" s="117"/>
      <c r="C558" s="117"/>
      <c r="D558" s="117" t="s">
        <v>36</v>
      </c>
      <c r="E558" s="117">
        <v>2</v>
      </c>
      <c r="F558" s="117"/>
      <c r="G558" s="117"/>
      <c r="H558" s="118"/>
      <c r="I558" s="65" t="s">
        <v>362</v>
      </c>
    </row>
    <row r="559" spans="1:13" ht="17.25" x14ac:dyDescent="0.35">
      <c r="A559" s="116"/>
      <c r="B559" s="117"/>
      <c r="C559" s="117"/>
      <c r="D559" s="117" t="s">
        <v>36</v>
      </c>
      <c r="E559" s="117">
        <v>499</v>
      </c>
      <c r="F559" s="117"/>
      <c r="G559" s="117"/>
      <c r="H559" s="118"/>
      <c r="I559" s="65" t="s">
        <v>363</v>
      </c>
    </row>
    <row r="560" spans="1:13" ht="17.25" x14ac:dyDescent="0.35">
      <c r="A560" s="116" t="s">
        <v>769</v>
      </c>
      <c r="B560" s="117" t="s">
        <v>444</v>
      </c>
      <c r="C560" s="117" t="s">
        <v>58</v>
      </c>
      <c r="D560" s="117"/>
      <c r="E560" s="117"/>
      <c r="F560" s="117"/>
      <c r="G560" s="136" t="s">
        <v>591</v>
      </c>
      <c r="H560" s="118"/>
      <c r="I560" s="65">
        <v>71544</v>
      </c>
    </row>
    <row r="561" spans="1:9" ht="17.25" x14ac:dyDescent="0.35">
      <c r="A561" s="116"/>
      <c r="B561" s="117"/>
      <c r="C561" s="117"/>
      <c r="D561" s="117" t="s">
        <v>36</v>
      </c>
      <c r="E561" s="117">
        <v>1</v>
      </c>
      <c r="F561" s="117">
        <v>0</v>
      </c>
      <c r="G561" s="117"/>
      <c r="H561" s="118"/>
      <c r="I561" s="65" t="s">
        <v>173</v>
      </c>
    </row>
    <row r="562" spans="1:9" ht="17.25" x14ac:dyDescent="0.35">
      <c r="A562" s="116"/>
      <c r="B562" s="117"/>
      <c r="C562" s="117"/>
      <c r="D562" s="117" t="s">
        <v>37</v>
      </c>
      <c r="E562" s="117">
        <v>24</v>
      </c>
      <c r="F562" s="117"/>
      <c r="G562" s="117"/>
      <c r="H562" s="118"/>
      <c r="I562" s="65" t="s">
        <v>445</v>
      </c>
    </row>
    <row r="563" spans="1:9" ht="17.25" x14ac:dyDescent="0.35">
      <c r="A563" s="116"/>
      <c r="B563" s="117"/>
      <c r="C563" s="117"/>
      <c r="D563" s="117" t="s">
        <v>37</v>
      </c>
      <c r="E563" s="117">
        <v>7</v>
      </c>
      <c r="F563" s="117"/>
      <c r="G563" s="117"/>
      <c r="H563" s="118"/>
      <c r="I563" s="65" t="s">
        <v>665</v>
      </c>
    </row>
    <row r="564" spans="1:9" ht="17.25" x14ac:dyDescent="0.35">
      <c r="A564" s="116" t="s">
        <v>345</v>
      </c>
      <c r="B564" s="117" t="s">
        <v>346</v>
      </c>
      <c r="C564" s="117" t="s">
        <v>58</v>
      </c>
      <c r="D564" s="117"/>
      <c r="E564" s="117"/>
      <c r="F564" s="117"/>
      <c r="G564" s="136" t="s">
        <v>591</v>
      </c>
      <c r="H564" s="118"/>
      <c r="I564" s="65">
        <v>71540</v>
      </c>
    </row>
    <row r="565" spans="1:9" ht="17.25" x14ac:dyDescent="0.35">
      <c r="A565" s="116"/>
      <c r="B565" s="117"/>
      <c r="C565" s="117"/>
      <c r="D565" s="117" t="s">
        <v>36</v>
      </c>
      <c r="E565" s="117">
        <v>1</v>
      </c>
      <c r="F565" s="117">
        <v>0</v>
      </c>
      <c r="G565" s="117"/>
      <c r="H565" s="118"/>
      <c r="I565" s="65" t="s">
        <v>173</v>
      </c>
    </row>
    <row r="566" spans="1:9" ht="17.25" x14ac:dyDescent="0.35">
      <c r="A566" s="116"/>
      <c r="B566" s="117"/>
      <c r="C566" s="117"/>
      <c r="D566" s="117" t="s">
        <v>36</v>
      </c>
      <c r="E566" s="117">
        <v>1</v>
      </c>
      <c r="F566" s="117">
        <v>0</v>
      </c>
      <c r="G566" s="117"/>
      <c r="H566" s="118"/>
      <c r="I566" s="65" t="s">
        <v>347</v>
      </c>
    </row>
    <row r="567" spans="1:9" ht="17.25" x14ac:dyDescent="0.35">
      <c r="A567" s="116"/>
      <c r="B567" s="117"/>
      <c r="C567" s="117"/>
      <c r="D567" s="117" t="s">
        <v>36</v>
      </c>
      <c r="E567" s="117">
        <v>509</v>
      </c>
      <c r="F567" s="117"/>
      <c r="G567" s="117"/>
      <c r="H567" s="118"/>
      <c r="I567" s="65" t="s">
        <v>222</v>
      </c>
    </row>
    <row r="568" spans="1:9" ht="17.25" x14ac:dyDescent="0.35">
      <c r="A568" s="116" t="s">
        <v>446</v>
      </c>
      <c r="B568" s="117" t="s">
        <v>337</v>
      </c>
      <c r="C568" s="117" t="s">
        <v>58</v>
      </c>
      <c r="D568" s="117"/>
      <c r="E568" s="117"/>
      <c r="F568" s="117"/>
      <c r="G568" s="136" t="s">
        <v>591</v>
      </c>
      <c r="H568" s="118"/>
      <c r="I568" s="65">
        <v>71572</v>
      </c>
    </row>
    <row r="569" spans="1:9" ht="17.25" x14ac:dyDescent="0.35">
      <c r="A569" s="116"/>
      <c r="B569" s="117"/>
      <c r="C569" s="117"/>
      <c r="D569" s="117" t="s">
        <v>36</v>
      </c>
      <c r="E569" s="117">
        <v>4</v>
      </c>
      <c r="F569" s="117">
        <v>10000</v>
      </c>
      <c r="G569" s="117"/>
      <c r="H569" s="118"/>
      <c r="I569" s="65" t="s">
        <v>447</v>
      </c>
    </row>
    <row r="570" spans="1:9" ht="17.25" x14ac:dyDescent="0.35">
      <c r="A570" s="116" t="s">
        <v>448</v>
      </c>
      <c r="B570" s="117" t="s">
        <v>449</v>
      </c>
      <c r="C570" s="117" t="s">
        <v>58</v>
      </c>
      <c r="D570" s="117"/>
      <c r="E570" s="117"/>
      <c r="F570" s="117"/>
      <c r="G570" s="136" t="s">
        <v>591</v>
      </c>
      <c r="H570" s="118"/>
      <c r="I570" s="65">
        <v>65958</v>
      </c>
    </row>
    <row r="571" spans="1:9" ht="17.25" x14ac:dyDescent="0.35">
      <c r="A571" s="116"/>
      <c r="B571" s="117"/>
      <c r="C571" s="117"/>
      <c r="D571" s="117" t="s">
        <v>36</v>
      </c>
      <c r="E571" s="117">
        <v>2</v>
      </c>
      <c r="F571" s="117">
        <v>0</v>
      </c>
      <c r="G571" s="117"/>
      <c r="H571" s="118"/>
      <c r="I571" s="65" t="s">
        <v>448</v>
      </c>
    </row>
    <row r="572" spans="1:9" ht="17.25" x14ac:dyDescent="0.35">
      <c r="A572" s="116" t="s">
        <v>450</v>
      </c>
      <c r="B572" s="117" t="s">
        <v>354</v>
      </c>
      <c r="C572" s="117" t="s">
        <v>58</v>
      </c>
      <c r="D572" s="117"/>
      <c r="E572" s="117"/>
      <c r="F572" s="117"/>
      <c r="G572" s="136" t="s">
        <v>591</v>
      </c>
      <c r="H572" s="118"/>
      <c r="I572" s="65">
        <v>72553</v>
      </c>
    </row>
    <row r="573" spans="1:9" ht="17.25" x14ac:dyDescent="0.35">
      <c r="A573" s="116"/>
      <c r="B573" s="117"/>
      <c r="C573" s="117"/>
      <c r="D573" s="117" t="s">
        <v>36</v>
      </c>
      <c r="E573" s="117">
        <v>1</v>
      </c>
      <c r="F573" s="117">
        <v>0</v>
      </c>
      <c r="G573" s="117"/>
      <c r="H573" s="118"/>
      <c r="I573" s="65" t="s">
        <v>450</v>
      </c>
    </row>
    <row r="574" spans="1:9" ht="17.25" x14ac:dyDescent="0.35">
      <c r="A574" s="116" t="s">
        <v>770</v>
      </c>
      <c r="B574" s="117" t="s">
        <v>352</v>
      </c>
      <c r="C574" s="117" t="s">
        <v>58</v>
      </c>
      <c r="D574" s="117"/>
      <c r="E574" s="117"/>
      <c r="F574" s="117"/>
      <c r="G574" s="136" t="s">
        <v>591</v>
      </c>
      <c r="H574" s="118"/>
      <c r="I574" s="65">
        <v>71597</v>
      </c>
    </row>
    <row r="575" spans="1:9" ht="17.25" x14ac:dyDescent="0.35">
      <c r="A575" s="116"/>
      <c r="B575" s="117"/>
      <c r="C575" s="117"/>
      <c r="D575" s="117" t="s">
        <v>36</v>
      </c>
      <c r="E575" s="117">
        <v>1</v>
      </c>
      <c r="F575" s="117">
        <v>1</v>
      </c>
      <c r="G575" s="117"/>
      <c r="H575" s="118"/>
      <c r="I575" s="65" t="s">
        <v>173</v>
      </c>
    </row>
    <row r="576" spans="1:9" ht="17.25" x14ac:dyDescent="0.35">
      <c r="A576" s="116"/>
      <c r="B576" s="117"/>
      <c r="C576" s="117"/>
      <c r="D576" s="117" t="s">
        <v>36</v>
      </c>
      <c r="E576" s="117">
        <v>1</v>
      </c>
      <c r="F576" s="117">
        <v>1</v>
      </c>
      <c r="G576" s="117"/>
      <c r="H576" s="118"/>
      <c r="I576" s="65" t="s">
        <v>353</v>
      </c>
    </row>
    <row r="577" spans="1:9" ht="17.25" x14ac:dyDescent="0.35">
      <c r="A577" s="116"/>
      <c r="B577" s="117"/>
      <c r="C577" s="117"/>
      <c r="D577" s="117" t="s">
        <v>36</v>
      </c>
      <c r="E577" s="117">
        <v>1</v>
      </c>
      <c r="F577" s="117">
        <v>1</v>
      </c>
      <c r="G577" s="117"/>
      <c r="H577" s="118"/>
      <c r="I577" s="65" t="s">
        <v>771</v>
      </c>
    </row>
    <row r="578" spans="1:9" ht="17.25" x14ac:dyDescent="0.35">
      <c r="A578" s="116"/>
      <c r="B578" s="117"/>
      <c r="C578" s="117"/>
      <c r="D578" s="117" t="s">
        <v>36</v>
      </c>
      <c r="E578" s="117">
        <v>1</v>
      </c>
      <c r="F578" s="117">
        <v>0</v>
      </c>
      <c r="G578" s="117"/>
      <c r="H578" s="118"/>
      <c r="I578" s="65" t="s">
        <v>772</v>
      </c>
    </row>
    <row r="579" spans="1:9" ht="17.25" x14ac:dyDescent="0.35">
      <c r="A579" s="116"/>
      <c r="B579" s="117"/>
      <c r="C579" s="117"/>
      <c r="D579" s="117" t="s">
        <v>36</v>
      </c>
      <c r="E579" s="117">
        <v>1</v>
      </c>
      <c r="F579" s="117">
        <v>0</v>
      </c>
      <c r="G579" s="117"/>
      <c r="H579" s="118"/>
      <c r="I579" s="65" t="s">
        <v>773</v>
      </c>
    </row>
    <row r="580" spans="1:9" ht="17.25" x14ac:dyDescent="0.35">
      <c r="A580" s="116"/>
      <c r="B580" s="117"/>
      <c r="C580" s="117"/>
      <c r="D580" s="117" t="s">
        <v>36</v>
      </c>
      <c r="E580" s="117">
        <v>27</v>
      </c>
      <c r="F580" s="117"/>
      <c r="G580" s="117"/>
      <c r="H580" s="118"/>
      <c r="I580" s="65" t="s">
        <v>222</v>
      </c>
    </row>
    <row r="581" spans="1:9" ht="17.25" x14ac:dyDescent="0.35">
      <c r="A581" s="123" t="s">
        <v>796</v>
      </c>
      <c r="B581" s="128" t="s">
        <v>797</v>
      </c>
      <c r="C581" s="124" t="s">
        <v>58</v>
      </c>
      <c r="D581" s="124"/>
      <c r="E581" s="125"/>
      <c r="F581" s="124"/>
      <c r="G581" s="136" t="s">
        <v>591</v>
      </c>
      <c r="H581" s="126"/>
      <c r="I581" s="127">
        <v>70235</v>
      </c>
    </row>
    <row r="582" spans="1:9" ht="17.25" x14ac:dyDescent="0.35">
      <c r="A582" s="123"/>
      <c r="B582" s="125"/>
      <c r="C582" s="124"/>
      <c r="D582" s="124" t="s">
        <v>36</v>
      </c>
      <c r="E582" s="125">
        <v>1</v>
      </c>
      <c r="F582" s="124">
        <v>5</v>
      </c>
      <c r="G582" s="124"/>
      <c r="H582" s="126"/>
      <c r="I582" s="127" t="s">
        <v>211</v>
      </c>
    </row>
    <row r="583" spans="1:9" ht="17.25" x14ac:dyDescent="0.35">
      <c r="A583" s="123"/>
      <c r="B583" s="125"/>
      <c r="C583" s="124"/>
      <c r="D583" s="124" t="s">
        <v>36</v>
      </c>
      <c r="E583" s="125">
        <v>2</v>
      </c>
      <c r="F583" s="124">
        <v>0</v>
      </c>
      <c r="G583" s="124"/>
      <c r="H583" s="126"/>
      <c r="I583" s="127" t="s">
        <v>798</v>
      </c>
    </row>
    <row r="584" spans="1:9" ht="17.25" x14ac:dyDescent="0.35">
      <c r="A584" s="123"/>
      <c r="B584" s="125"/>
      <c r="C584" s="124"/>
      <c r="D584" s="124" t="s">
        <v>36</v>
      </c>
      <c r="E584" s="125">
        <v>2</v>
      </c>
      <c r="F584" s="124">
        <v>0</v>
      </c>
      <c r="G584" s="124"/>
      <c r="H584" s="126"/>
      <c r="I584" s="127" t="s">
        <v>799</v>
      </c>
    </row>
    <row r="585" spans="1:9" ht="17.25" x14ac:dyDescent="0.35">
      <c r="A585" s="123"/>
      <c r="B585" s="125"/>
      <c r="C585" s="124"/>
      <c r="D585" s="124" t="s">
        <v>36</v>
      </c>
      <c r="E585" s="125">
        <v>2</v>
      </c>
      <c r="F585" s="124">
        <v>0</v>
      </c>
      <c r="G585" s="124"/>
      <c r="H585" s="126"/>
      <c r="I585" s="127" t="s">
        <v>800</v>
      </c>
    </row>
    <row r="586" spans="1:9" ht="17.25" x14ac:dyDescent="0.35">
      <c r="A586" s="123"/>
      <c r="B586" s="125"/>
      <c r="C586" s="124"/>
      <c r="D586" s="124" t="s">
        <v>36</v>
      </c>
      <c r="E586" s="125">
        <v>1</v>
      </c>
      <c r="F586" s="124">
        <v>0</v>
      </c>
      <c r="G586" s="124"/>
      <c r="H586" s="126"/>
      <c r="I586" s="127" t="s">
        <v>801</v>
      </c>
    </row>
    <row r="587" spans="1:9" ht="17.25" x14ac:dyDescent="0.35">
      <c r="A587" s="123"/>
      <c r="B587" s="125"/>
      <c r="C587" s="124"/>
      <c r="D587" s="124" t="s">
        <v>36</v>
      </c>
      <c r="E587" s="125">
        <v>2</v>
      </c>
      <c r="F587" s="124">
        <v>0</v>
      </c>
      <c r="G587" s="124"/>
      <c r="H587" s="126"/>
      <c r="I587" s="127" t="s">
        <v>802</v>
      </c>
    </row>
    <row r="588" spans="1:9" ht="17.25" x14ac:dyDescent="0.35">
      <c r="A588" s="123"/>
      <c r="B588" s="125"/>
      <c r="C588" s="124"/>
      <c r="D588" s="124" t="s">
        <v>36</v>
      </c>
      <c r="E588" s="125">
        <v>2</v>
      </c>
      <c r="F588" s="124">
        <v>0</v>
      </c>
      <c r="G588" s="124"/>
      <c r="H588" s="126"/>
      <c r="I588" s="127" t="s">
        <v>803</v>
      </c>
    </row>
    <row r="589" spans="1:9" ht="17.25" x14ac:dyDescent="0.35">
      <c r="A589" s="123"/>
      <c r="B589" s="125"/>
      <c r="C589" s="124"/>
      <c r="D589" s="124" t="s">
        <v>36</v>
      </c>
      <c r="E589" s="125">
        <v>1</v>
      </c>
      <c r="F589" s="124">
        <v>2</v>
      </c>
      <c r="G589" s="124"/>
      <c r="H589" s="126"/>
      <c r="I589" s="127" t="s">
        <v>804</v>
      </c>
    </row>
    <row r="590" spans="1:9" ht="17.25" x14ac:dyDescent="0.35">
      <c r="A590" s="123"/>
      <c r="B590" s="125"/>
      <c r="C590" s="124"/>
      <c r="D590" s="124" t="s">
        <v>36</v>
      </c>
      <c r="E590" s="125">
        <v>1011</v>
      </c>
      <c r="F590" s="124"/>
      <c r="G590" s="124"/>
      <c r="H590" s="126"/>
      <c r="I590" s="127" t="s">
        <v>222</v>
      </c>
    </row>
    <row r="591" spans="1:9" ht="17.25" x14ac:dyDescent="0.35">
      <c r="A591" s="116" t="s">
        <v>453</v>
      </c>
      <c r="B591" s="117" t="s">
        <v>454</v>
      </c>
      <c r="C591" s="117" t="s">
        <v>58</v>
      </c>
      <c r="D591" s="117"/>
      <c r="E591" s="117"/>
      <c r="F591" s="117"/>
      <c r="G591" s="136" t="s">
        <v>591</v>
      </c>
      <c r="H591" s="118"/>
      <c r="I591" s="65">
        <v>69689</v>
      </c>
    </row>
    <row r="592" spans="1:9" ht="17.25" x14ac:dyDescent="0.35">
      <c r="A592" s="116"/>
      <c r="B592" s="117"/>
      <c r="C592" s="117"/>
      <c r="D592" s="117" t="s">
        <v>37</v>
      </c>
      <c r="E592" s="117">
        <v>1024</v>
      </c>
      <c r="F592" s="117" t="s">
        <v>822</v>
      </c>
      <c r="G592" s="117"/>
      <c r="H592" s="118"/>
      <c r="I592" s="65" t="s">
        <v>455</v>
      </c>
    </row>
    <row r="593" spans="1:9" ht="17.25" x14ac:dyDescent="0.35">
      <c r="A593" s="116" t="s">
        <v>774</v>
      </c>
      <c r="B593" s="117" t="s">
        <v>775</v>
      </c>
      <c r="C593" s="117" t="s">
        <v>58</v>
      </c>
      <c r="D593" s="117"/>
      <c r="E593" s="117"/>
      <c r="F593" s="117"/>
      <c r="G593" s="136" t="s">
        <v>591</v>
      </c>
      <c r="H593" s="118"/>
      <c r="I593" s="65">
        <v>67283</v>
      </c>
    </row>
    <row r="594" spans="1:9" ht="17.25" x14ac:dyDescent="0.35">
      <c r="A594" s="116"/>
      <c r="B594" s="117"/>
      <c r="C594" s="117"/>
      <c r="D594" s="117" t="s">
        <v>36</v>
      </c>
      <c r="E594" s="117">
        <v>1</v>
      </c>
      <c r="F594" s="117">
        <v>1</v>
      </c>
      <c r="G594" s="117"/>
      <c r="H594" s="118"/>
      <c r="I594" s="65" t="s">
        <v>776</v>
      </c>
    </row>
    <row r="595" spans="1:9" ht="17.25" x14ac:dyDescent="0.35">
      <c r="A595" s="116" t="s">
        <v>777</v>
      </c>
      <c r="B595" s="117" t="s">
        <v>778</v>
      </c>
      <c r="C595" s="117" t="s">
        <v>58</v>
      </c>
      <c r="D595" s="117"/>
      <c r="E595" s="117"/>
      <c r="F595" s="117"/>
      <c r="G595" s="136" t="s">
        <v>591</v>
      </c>
      <c r="H595" s="118"/>
      <c r="I595" s="65">
        <v>67284</v>
      </c>
    </row>
    <row r="596" spans="1:9" ht="17.25" x14ac:dyDescent="0.35">
      <c r="A596" s="116"/>
      <c r="B596" s="117"/>
      <c r="C596" s="117"/>
      <c r="D596" s="117" t="s">
        <v>36</v>
      </c>
      <c r="E596" s="117">
        <v>1</v>
      </c>
      <c r="F596" s="117">
        <v>1</v>
      </c>
      <c r="G596" s="117"/>
      <c r="H596" s="118"/>
      <c r="I596" s="65" t="s">
        <v>779</v>
      </c>
    </row>
    <row r="597" spans="1:9" ht="17.25" x14ac:dyDescent="0.35">
      <c r="A597" s="116"/>
      <c r="B597" s="117"/>
      <c r="C597" s="117"/>
      <c r="D597" s="117"/>
      <c r="E597" s="117"/>
      <c r="F597" s="117"/>
      <c r="G597" s="117"/>
      <c r="H597" s="118"/>
      <c r="I597" s="74"/>
    </row>
    <row r="598" spans="1:9" ht="17.25" x14ac:dyDescent="0.35">
      <c r="A598" s="116" t="s">
        <v>780</v>
      </c>
      <c r="B598" s="117" t="s">
        <v>781</v>
      </c>
      <c r="C598" s="117" t="s">
        <v>488</v>
      </c>
      <c r="D598" s="117"/>
      <c r="E598" s="117"/>
      <c r="F598" s="117"/>
      <c r="G598" s="136" t="s">
        <v>591</v>
      </c>
      <c r="H598" s="118" t="s">
        <v>836</v>
      </c>
      <c r="I598" s="65"/>
    </row>
    <row r="599" spans="1:9" ht="27.75" x14ac:dyDescent="0.35">
      <c r="A599" s="116" t="s">
        <v>578</v>
      </c>
      <c r="B599" s="117" t="s">
        <v>579</v>
      </c>
      <c r="C599" s="117" t="s">
        <v>488</v>
      </c>
      <c r="D599" s="117"/>
      <c r="E599" s="117"/>
      <c r="F599" s="117"/>
      <c r="G599" s="136" t="s">
        <v>591</v>
      </c>
      <c r="H599" s="118" t="s">
        <v>837</v>
      </c>
      <c r="I599" s="71">
        <v>69736</v>
      </c>
    </row>
    <row r="600" spans="1:9" ht="27.75" x14ac:dyDescent="0.35">
      <c r="A600" s="116" t="s">
        <v>580</v>
      </c>
      <c r="B600" s="117" t="s">
        <v>581</v>
      </c>
      <c r="C600" s="117" t="s">
        <v>488</v>
      </c>
      <c r="D600" s="117"/>
      <c r="E600" s="117"/>
      <c r="F600" s="117"/>
      <c r="G600" s="136" t="s">
        <v>591</v>
      </c>
      <c r="H600" s="118" t="s">
        <v>838</v>
      </c>
      <c r="I600" s="71">
        <v>69737</v>
      </c>
    </row>
    <row r="601" spans="1:9" ht="17.25" x14ac:dyDescent="0.35">
      <c r="A601" s="135" t="s">
        <v>920</v>
      </c>
      <c r="B601" s="136" t="s">
        <v>921</v>
      </c>
      <c r="C601" s="136" t="s">
        <v>488</v>
      </c>
      <c r="D601" s="136"/>
      <c r="E601" s="136"/>
      <c r="F601" s="136"/>
      <c r="G601" s="136" t="s">
        <v>591</v>
      </c>
      <c r="H601" s="137" t="s">
        <v>922</v>
      </c>
      <c r="I601" s="71"/>
    </row>
    <row r="602" spans="1:9" ht="17.25" x14ac:dyDescent="0.35">
      <c r="A602" s="135" t="s">
        <v>965</v>
      </c>
      <c r="B602" s="136" t="s">
        <v>966</v>
      </c>
      <c r="C602" s="136" t="s">
        <v>58</v>
      </c>
      <c r="D602" s="136"/>
      <c r="E602" s="136"/>
      <c r="F602" s="136"/>
      <c r="G602" s="136" t="s">
        <v>591</v>
      </c>
      <c r="H602" s="137"/>
      <c r="I602" s="71">
        <v>65633</v>
      </c>
    </row>
    <row r="603" spans="1:9" ht="17.25" x14ac:dyDescent="0.35">
      <c r="A603" s="135"/>
      <c r="B603" s="136"/>
      <c r="C603" s="136"/>
      <c r="D603" s="136" t="s">
        <v>36</v>
      </c>
      <c r="E603" s="136">
        <v>8</v>
      </c>
      <c r="F603" s="136" t="s">
        <v>967</v>
      </c>
      <c r="G603" s="136"/>
      <c r="H603" s="137"/>
      <c r="I603" s="71" t="s">
        <v>968</v>
      </c>
    </row>
    <row r="604" spans="1:9" ht="17.25" x14ac:dyDescent="0.35">
      <c r="A604" s="135" t="s">
        <v>472</v>
      </c>
      <c r="B604" s="136" t="s">
        <v>977</v>
      </c>
      <c r="C604" s="136" t="s">
        <v>58</v>
      </c>
      <c r="D604" s="136"/>
      <c r="E604" s="136"/>
      <c r="F604" s="136"/>
      <c r="G604" s="136" t="s">
        <v>591</v>
      </c>
      <c r="H604" s="137"/>
      <c r="I604" s="71">
        <v>67275</v>
      </c>
    </row>
    <row r="605" spans="1:9" ht="17.25" x14ac:dyDescent="0.35">
      <c r="A605" s="135"/>
      <c r="B605" s="136"/>
      <c r="C605" s="136"/>
      <c r="D605" s="136" t="s">
        <v>36</v>
      </c>
      <c r="E605" s="136">
        <v>1</v>
      </c>
      <c r="F605" s="136">
        <v>1</v>
      </c>
      <c r="G605" s="136"/>
      <c r="H605" s="137"/>
      <c r="I605" s="71" t="s">
        <v>473</v>
      </c>
    </row>
    <row r="606" spans="1:9" ht="18" thickBot="1" x14ac:dyDescent="0.4">
      <c r="A606" s="119"/>
      <c r="B606" s="120"/>
      <c r="C606" s="120"/>
      <c r="D606" s="120"/>
      <c r="E606" s="120"/>
      <c r="F606" s="120"/>
      <c r="G606" s="120"/>
      <c r="H606" s="121"/>
      <c r="I606" s="72"/>
    </row>
    <row r="607" spans="1:9" x14ac:dyDescent="0.2">
      <c r="A607" s="13"/>
      <c r="B607" s="13"/>
      <c r="C607" s="26"/>
      <c r="D607" s="26"/>
      <c r="E607" s="26"/>
      <c r="F607" s="39"/>
      <c r="G607" s="26"/>
      <c r="H607" s="40"/>
      <c r="I607" s="26"/>
    </row>
    <row r="608" spans="1:9" ht="13.5" thickBot="1" x14ac:dyDescent="0.25">
      <c r="A608" s="26"/>
      <c r="B608" s="26"/>
      <c r="C608" s="26"/>
      <c r="D608" s="26"/>
      <c r="E608" s="26"/>
      <c r="F608" s="39"/>
      <c r="G608" s="26"/>
      <c r="H608" s="40"/>
      <c r="I608" s="26"/>
    </row>
    <row r="609" spans="1:8" ht="20.25" thickBot="1" x14ac:dyDescent="0.45">
      <c r="A609" s="187" t="s">
        <v>113</v>
      </c>
      <c r="B609" s="188"/>
      <c r="C609" s="188"/>
      <c r="D609" s="188"/>
      <c r="E609" s="188"/>
      <c r="F609" s="188"/>
      <c r="G609" s="188"/>
      <c r="H609" s="189"/>
    </row>
    <row r="610" spans="1:8" ht="15.75" thickBot="1" x14ac:dyDescent="0.35">
      <c r="A610" s="75" t="s">
        <v>130</v>
      </c>
      <c r="B610" s="76"/>
      <c r="C610" s="76" t="s">
        <v>33</v>
      </c>
      <c r="D610" s="75" t="s">
        <v>131</v>
      </c>
      <c r="E610" s="75" t="s">
        <v>132</v>
      </c>
      <c r="F610" s="75" t="s">
        <v>133</v>
      </c>
      <c r="G610" s="77" t="s">
        <v>40</v>
      </c>
      <c r="H610" s="78"/>
    </row>
    <row r="611" spans="1:8" ht="17.25" x14ac:dyDescent="0.35">
      <c r="A611" s="91" t="s">
        <v>129</v>
      </c>
      <c r="B611" s="92"/>
      <c r="C611" s="85" t="s">
        <v>114</v>
      </c>
      <c r="D611" s="85"/>
      <c r="E611" s="85"/>
      <c r="F611" s="86"/>
      <c r="G611" s="85" t="s">
        <v>21</v>
      </c>
      <c r="H611" s="87"/>
    </row>
    <row r="612" spans="1:8" ht="17.25" x14ac:dyDescent="0.35">
      <c r="A612" s="93" t="s">
        <v>115</v>
      </c>
      <c r="B612" s="94"/>
      <c r="C612" s="79"/>
      <c r="D612" s="79" t="s">
        <v>36</v>
      </c>
      <c r="E612" s="79">
        <v>1</v>
      </c>
      <c r="F612" s="80">
        <v>0</v>
      </c>
      <c r="G612" s="79"/>
      <c r="H612" s="88"/>
    </row>
    <row r="613" spans="1:8" ht="17.25" x14ac:dyDescent="0.35">
      <c r="A613" s="93" t="s">
        <v>116</v>
      </c>
      <c r="B613" s="94"/>
      <c r="C613" s="79"/>
      <c r="D613" s="79" t="s">
        <v>36</v>
      </c>
      <c r="E613" s="79">
        <v>2</v>
      </c>
      <c r="F613" s="80">
        <v>2</v>
      </c>
      <c r="G613" s="79"/>
      <c r="H613" s="88"/>
    </row>
    <row r="614" spans="1:8" ht="17.25" x14ac:dyDescent="0.35">
      <c r="A614" s="93" t="s">
        <v>117</v>
      </c>
      <c r="B614" s="94"/>
      <c r="C614" s="79"/>
      <c r="D614" s="79" t="s">
        <v>36</v>
      </c>
      <c r="E614" s="79">
        <v>2</v>
      </c>
      <c r="F614" s="80" t="s">
        <v>134</v>
      </c>
      <c r="G614" s="79"/>
      <c r="H614" s="88"/>
    </row>
    <row r="615" spans="1:8" ht="17.25" x14ac:dyDescent="0.35">
      <c r="A615" s="93" t="s">
        <v>118</v>
      </c>
      <c r="B615" s="94"/>
      <c r="C615" s="79"/>
      <c r="D615" s="79" t="s">
        <v>36</v>
      </c>
      <c r="E615" s="79">
        <v>1</v>
      </c>
      <c r="F615" s="80" t="s">
        <v>4</v>
      </c>
      <c r="G615" s="79"/>
      <c r="H615" s="88"/>
    </row>
    <row r="616" spans="1:8" ht="17.25" x14ac:dyDescent="0.35">
      <c r="A616" s="93" t="s">
        <v>119</v>
      </c>
      <c r="B616" s="94"/>
      <c r="C616" s="79"/>
      <c r="D616" s="79" t="s">
        <v>36</v>
      </c>
      <c r="E616" s="79">
        <v>2</v>
      </c>
      <c r="F616" s="80">
        <v>4</v>
      </c>
      <c r="G616" s="79"/>
      <c r="H616" s="88"/>
    </row>
    <row r="617" spans="1:8" ht="17.25" x14ac:dyDescent="0.35">
      <c r="A617" s="95" t="s">
        <v>120</v>
      </c>
      <c r="B617" s="96"/>
      <c r="C617" s="81"/>
      <c r="D617" s="81" t="s">
        <v>36</v>
      </c>
      <c r="E617" s="81">
        <f>F616</f>
        <v>4</v>
      </c>
      <c r="F617" s="82" t="s">
        <v>1032</v>
      </c>
      <c r="G617" s="81"/>
      <c r="H617" s="89"/>
    </row>
    <row r="618" spans="1:8" ht="17.25" x14ac:dyDescent="0.35">
      <c r="A618" s="93" t="s">
        <v>121</v>
      </c>
      <c r="B618" s="94"/>
      <c r="C618" s="79"/>
      <c r="D618" s="79" t="s">
        <v>36</v>
      </c>
      <c r="E618" s="79">
        <v>1</v>
      </c>
      <c r="F618" s="80" t="s">
        <v>5</v>
      </c>
      <c r="G618" s="79"/>
      <c r="H618" s="88"/>
    </row>
    <row r="619" spans="1:8" ht="17.25" x14ac:dyDescent="0.35">
      <c r="A619" s="93" t="s">
        <v>122</v>
      </c>
      <c r="B619" s="94"/>
      <c r="C619" s="79"/>
      <c r="D619" s="79" t="s">
        <v>36</v>
      </c>
      <c r="E619" s="79">
        <v>2</v>
      </c>
      <c r="F619" s="80">
        <f>LEN(F620)</f>
        <v>14</v>
      </c>
      <c r="G619" s="79"/>
      <c r="H619" s="88"/>
    </row>
    <row r="620" spans="1:8" ht="17.25" x14ac:dyDescent="0.35">
      <c r="A620" s="93" t="s">
        <v>123</v>
      </c>
      <c r="B620" s="94"/>
      <c r="C620" s="79"/>
      <c r="D620" s="79" t="s">
        <v>37</v>
      </c>
      <c r="E620" s="79">
        <f>F619</f>
        <v>14</v>
      </c>
      <c r="F620" s="80" t="s">
        <v>820</v>
      </c>
      <c r="G620" s="79"/>
      <c r="H620" s="88" t="s">
        <v>147</v>
      </c>
    </row>
    <row r="621" spans="1:8" ht="17.25" x14ac:dyDescent="0.35">
      <c r="A621" s="93" t="s">
        <v>124</v>
      </c>
      <c r="B621" s="94"/>
      <c r="C621" s="79"/>
      <c r="D621" s="79" t="s">
        <v>36</v>
      </c>
      <c r="E621" s="79">
        <v>1</v>
      </c>
      <c r="F621" s="80" t="s">
        <v>135</v>
      </c>
      <c r="G621" s="79"/>
      <c r="H621" s="88"/>
    </row>
    <row r="622" spans="1:8" ht="17.25" x14ac:dyDescent="0.35">
      <c r="A622" s="93" t="s">
        <v>125</v>
      </c>
      <c r="B622" s="94"/>
      <c r="C622" s="79"/>
      <c r="D622" s="79" t="s">
        <v>36</v>
      </c>
      <c r="E622" s="79">
        <v>2</v>
      </c>
      <c r="F622" s="80">
        <f>E623+E624+(F624*E625)</f>
        <v>6</v>
      </c>
      <c r="G622" s="79"/>
      <c r="H622" s="88"/>
    </row>
    <row r="623" spans="1:8" ht="17.25" x14ac:dyDescent="0.35">
      <c r="A623" s="93" t="s">
        <v>126</v>
      </c>
      <c r="B623" s="94"/>
      <c r="C623" s="79"/>
      <c r="D623" s="79" t="s">
        <v>36</v>
      </c>
      <c r="E623" s="79">
        <v>1</v>
      </c>
      <c r="F623" s="80">
        <v>0</v>
      </c>
      <c r="G623" s="79"/>
      <c r="H623" s="88"/>
    </row>
    <row r="624" spans="1:8" ht="17.25" x14ac:dyDescent="0.35">
      <c r="A624" s="93" t="s">
        <v>127</v>
      </c>
      <c r="B624" s="94"/>
      <c r="C624" s="79"/>
      <c r="D624" s="79" t="s">
        <v>36</v>
      </c>
      <c r="E624" s="79">
        <v>1</v>
      </c>
      <c r="F624" s="80">
        <f>LEN(F625)-LEN(SUBSTITUTE(F625,",",""))+1</f>
        <v>1</v>
      </c>
      <c r="G624" s="79"/>
      <c r="H624" s="88"/>
    </row>
    <row r="625" spans="1:8" ht="17.25" x14ac:dyDescent="0.35">
      <c r="A625" s="93" t="s">
        <v>128</v>
      </c>
      <c r="B625" s="94"/>
      <c r="C625" s="79"/>
      <c r="D625" s="79" t="s">
        <v>43</v>
      </c>
      <c r="E625" s="79">
        <v>4</v>
      </c>
      <c r="F625" s="80">
        <v>8942001</v>
      </c>
      <c r="G625" s="79"/>
      <c r="H625" s="88"/>
    </row>
    <row r="626" spans="1:8" ht="17.25" x14ac:dyDescent="0.35">
      <c r="A626" s="93" t="s">
        <v>390</v>
      </c>
      <c r="B626" s="94"/>
      <c r="C626" s="79"/>
      <c r="D626" s="79" t="s">
        <v>36</v>
      </c>
      <c r="E626" s="79">
        <v>1</v>
      </c>
      <c r="F626" s="80" t="s">
        <v>391</v>
      </c>
      <c r="G626" s="79"/>
      <c r="H626" s="88"/>
    </row>
    <row r="627" spans="1:8" ht="17.25" x14ac:dyDescent="0.35">
      <c r="A627" s="97" t="s">
        <v>392</v>
      </c>
      <c r="B627" s="98"/>
      <c r="C627" s="83"/>
      <c r="D627" s="83" t="s">
        <v>36</v>
      </c>
      <c r="E627" s="83">
        <v>2</v>
      </c>
      <c r="F627" s="84">
        <v>4</v>
      </c>
      <c r="G627" s="83"/>
      <c r="H627" s="90"/>
    </row>
    <row r="628" spans="1:8" ht="17.25" x14ac:dyDescent="0.35">
      <c r="A628" s="95" t="s">
        <v>393</v>
      </c>
      <c r="B628" s="96"/>
      <c r="C628" s="81"/>
      <c r="D628" s="81" t="s">
        <v>36</v>
      </c>
      <c r="E628" s="81">
        <v>4</v>
      </c>
      <c r="F628" s="156" t="str">
        <f>$F$617</f>
        <v>0x05011F43</v>
      </c>
      <c r="G628" s="81"/>
      <c r="H628" s="89"/>
    </row>
    <row r="629" spans="1:8" ht="17.25" x14ac:dyDescent="0.35">
      <c r="A629" s="152" t="s">
        <v>988</v>
      </c>
      <c r="B629" s="153"/>
      <c r="C629" s="154"/>
      <c r="D629" s="154" t="s">
        <v>36</v>
      </c>
      <c r="E629" s="154">
        <v>1</v>
      </c>
      <c r="F629" s="154" t="s">
        <v>417</v>
      </c>
      <c r="G629" s="154"/>
      <c r="H629" s="155"/>
    </row>
    <row r="630" spans="1:8" ht="17.25" x14ac:dyDescent="0.35">
      <c r="A630" s="148" t="s">
        <v>989</v>
      </c>
      <c r="B630" s="149"/>
      <c r="C630" s="150"/>
      <c r="D630" s="150" t="s">
        <v>36</v>
      </c>
      <c r="E630" s="150">
        <v>2</v>
      </c>
      <c r="F630" s="150">
        <f>2+F632*E633*2</f>
        <v>6</v>
      </c>
      <c r="G630" s="150"/>
      <c r="H630" s="151"/>
    </row>
    <row r="631" spans="1:8" ht="17.25" x14ac:dyDescent="0.35">
      <c r="A631" s="148" t="s">
        <v>990</v>
      </c>
      <c r="B631" s="149"/>
      <c r="C631" s="150"/>
      <c r="D631" s="150" t="s">
        <v>36</v>
      </c>
      <c r="E631" s="150">
        <v>1</v>
      </c>
      <c r="F631" s="150">
        <v>0</v>
      </c>
      <c r="G631" s="150"/>
      <c r="H631" s="151" t="s">
        <v>991</v>
      </c>
    </row>
    <row r="632" spans="1:8" ht="17.25" x14ac:dyDescent="0.35">
      <c r="A632" s="148" t="s">
        <v>992</v>
      </c>
      <c r="B632" s="149"/>
      <c r="C632" s="150"/>
      <c r="D632" s="150" t="s">
        <v>36</v>
      </c>
      <c r="E632" s="150">
        <v>1</v>
      </c>
      <c r="F632" s="150">
        <f>SUM(LEN(F633)-LEN(SUBSTITUTE(F633,"-","")))</f>
        <v>1</v>
      </c>
      <c r="G632" s="150"/>
      <c r="H632" s="151" t="s">
        <v>993</v>
      </c>
    </row>
    <row r="633" spans="1:8" ht="17.25" x14ac:dyDescent="0.35">
      <c r="A633" s="148" t="s">
        <v>994</v>
      </c>
      <c r="B633" s="149"/>
      <c r="C633" s="150"/>
      <c r="D633" s="150" t="s">
        <v>43</v>
      </c>
      <c r="E633" s="150">
        <v>2</v>
      </c>
      <c r="F633" s="150" t="s">
        <v>1028</v>
      </c>
      <c r="G633" s="150"/>
      <c r="H633" s="151"/>
    </row>
    <row r="634" spans="1:8" ht="17.25" x14ac:dyDescent="0.35">
      <c r="A634" s="157" t="s">
        <v>935</v>
      </c>
      <c r="B634" s="157"/>
      <c r="C634" s="158"/>
      <c r="D634" s="159" t="s">
        <v>36</v>
      </c>
      <c r="E634" s="159">
        <v>1</v>
      </c>
      <c r="F634" s="160" t="s">
        <v>465</v>
      </c>
      <c r="G634" s="159"/>
      <c r="H634" s="161"/>
    </row>
    <row r="635" spans="1:8" ht="17.25" x14ac:dyDescent="0.35">
      <c r="A635" s="157" t="s">
        <v>936</v>
      </c>
      <c r="B635" s="157"/>
      <c r="C635" s="158"/>
      <c r="D635" s="159" t="s">
        <v>36</v>
      </c>
      <c r="E635" s="159">
        <v>2</v>
      </c>
      <c r="F635" s="162">
        <v>4</v>
      </c>
      <c r="G635" s="159"/>
      <c r="H635" s="161"/>
    </row>
    <row r="636" spans="1:8" ht="138" x14ac:dyDescent="0.35">
      <c r="A636" s="157" t="s">
        <v>937</v>
      </c>
      <c r="B636" s="157"/>
      <c r="C636" s="158"/>
      <c r="D636" s="159" t="s">
        <v>36</v>
      </c>
      <c r="E636" s="159">
        <v>4</v>
      </c>
      <c r="F636" s="160" t="s">
        <v>938</v>
      </c>
      <c r="G636" s="159"/>
      <c r="H636" s="161" t="s">
        <v>939</v>
      </c>
    </row>
  </sheetData>
  <mergeCells count="3">
    <mergeCell ref="A2:I2"/>
    <mergeCell ref="A4:H4"/>
    <mergeCell ref="A609:H609"/>
  </mergeCells>
  <conditionalFormatting sqref="B637:B1048576 B607:B628 B1:B5 B46:B48">
    <cfRule type="duplicateValues" dxfId="7" priority="9"/>
  </conditionalFormatting>
  <conditionalFormatting sqref="B1:B5 B46:B48 B637:B1048576 B607:B628">
    <cfRule type="containsText" dxfId="6" priority="8" operator="containsText" text="ims">
      <formula>NOT(ISERROR(SEARCH("ims",B1)))</formula>
    </cfRule>
  </conditionalFormatting>
  <conditionalFormatting sqref="B590 B584:B587">
    <cfRule type="containsText" dxfId="5" priority="7" operator="containsText" text="ims">
      <formula>NOT(ISERROR(SEARCH("ims",B584)))</formula>
    </cfRule>
  </conditionalFormatting>
  <conditionalFormatting sqref="B581:B583">
    <cfRule type="containsText" dxfId="4" priority="6" operator="containsText" text="ims">
      <formula>NOT(ISERROR(SEARCH("ims",B581)))</formula>
    </cfRule>
  </conditionalFormatting>
  <conditionalFormatting sqref="B588:B589">
    <cfRule type="containsText" dxfId="3" priority="5" operator="containsText" text="ims">
      <formula>NOT(ISERROR(SEARCH("ims",B588)))</formula>
    </cfRule>
  </conditionalFormatting>
  <conditionalFormatting sqref="B634:B636">
    <cfRule type="duplicateValues" dxfId="2" priority="4"/>
  </conditionalFormatting>
  <conditionalFormatting sqref="B634:B636">
    <cfRule type="containsText" dxfId="1" priority="3" operator="containsText" text="ims">
      <formula>NOT(ISERROR(SEARCH("ims",B634)))</formula>
    </cfRule>
  </conditionalFormatting>
  <conditionalFormatting sqref="B629:B633">
    <cfRule type="containsText" dxfId="0" priority="1" operator="containsText" text="ims">
      <formula>NOT(ISERROR(SEARCH("ims",B629)))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170"/>
  <sheetViews>
    <sheetView topLeftCell="A66" zoomScale="80" zoomScaleNormal="80" workbookViewId="0">
      <selection activeCell="H76" sqref="H76"/>
    </sheetView>
  </sheetViews>
  <sheetFormatPr defaultColWidth="9.140625" defaultRowHeight="12.75" x14ac:dyDescent="0.2"/>
  <cols>
    <col min="1" max="1" width="2.85546875" style="22" customWidth="1"/>
    <col min="2" max="2" width="11.7109375" style="22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7" width="57.7109375" style="19" customWidth="1"/>
    <col min="8" max="8" width="53.28515625" style="19" customWidth="1"/>
    <col min="9" max="9" width="9.140625" style="22" customWidth="1"/>
    <col min="10" max="12" width="9.140625" style="22"/>
    <col min="13" max="13" width="10.85546875" style="22" bestFit="1" customWidth="1"/>
    <col min="14" max="16384" width="9.140625" style="22"/>
  </cols>
  <sheetData>
    <row r="2" spans="2:8" s="21" customFormat="1" ht="45" customHeight="1" x14ac:dyDescent="0.55000000000000004">
      <c r="B2" s="32" t="s">
        <v>31</v>
      </c>
      <c r="C2" s="32"/>
      <c r="D2" s="32"/>
      <c r="E2" s="32"/>
      <c r="F2" s="32"/>
      <c r="G2" s="32"/>
      <c r="H2" s="32"/>
    </row>
    <row r="3" spans="2:8" ht="13.5" thickBot="1" x14ac:dyDescent="0.25"/>
    <row r="4" spans="2:8" ht="15.75" thickBot="1" x14ac:dyDescent="0.35">
      <c r="D4" s="56" t="s">
        <v>348</v>
      </c>
      <c r="E4" s="56"/>
    </row>
    <row r="5" spans="2:8" x14ac:dyDescent="0.2">
      <c r="D5" s="22" t="s">
        <v>349</v>
      </c>
      <c r="E5" s="19">
        <v>3</v>
      </c>
    </row>
    <row r="6" spans="2:8" x14ac:dyDescent="0.2">
      <c r="D6" s="22" t="s">
        <v>350</v>
      </c>
      <c r="E6" s="19">
        <v>275</v>
      </c>
    </row>
    <row r="8" spans="2:8" s="23" customFormat="1" ht="15" x14ac:dyDescent="0.3">
      <c r="B8" s="129" t="s">
        <v>32</v>
      </c>
      <c r="C8" s="129" t="s">
        <v>28</v>
      </c>
      <c r="D8" s="129" t="s">
        <v>29</v>
      </c>
      <c r="E8" s="129" t="s">
        <v>30</v>
      </c>
      <c r="F8" s="129" t="s">
        <v>3</v>
      </c>
      <c r="G8" s="129" t="s">
        <v>224</v>
      </c>
      <c r="H8" s="129" t="s">
        <v>383</v>
      </c>
    </row>
    <row r="9" spans="2:8" s="34" customFormat="1" ht="15" x14ac:dyDescent="0.3">
      <c r="B9" s="130"/>
      <c r="C9" s="131"/>
      <c r="D9" s="132"/>
      <c r="E9" s="130"/>
      <c r="F9" s="130"/>
      <c r="G9" s="130"/>
      <c r="H9" s="133"/>
    </row>
    <row r="10" spans="2:8" s="34" customFormat="1" ht="15" x14ac:dyDescent="0.3">
      <c r="B10" s="130">
        <v>1</v>
      </c>
      <c r="C10" s="131">
        <v>42110</v>
      </c>
      <c r="D10" s="132" t="s">
        <v>458</v>
      </c>
      <c r="E10" s="130">
        <v>809951</v>
      </c>
      <c r="F10" s="130"/>
      <c r="G10" s="132" t="s">
        <v>469</v>
      </c>
      <c r="H10" s="130" t="s">
        <v>462</v>
      </c>
    </row>
    <row r="11" spans="2:8" s="34" customFormat="1" ht="15" x14ac:dyDescent="0.3">
      <c r="B11" s="130">
        <v>2</v>
      </c>
      <c r="C11" s="131">
        <v>42131</v>
      </c>
      <c r="D11" s="132" t="s">
        <v>480</v>
      </c>
      <c r="E11" s="130">
        <v>830921</v>
      </c>
      <c r="F11" s="130" t="s">
        <v>481</v>
      </c>
      <c r="G11" s="132" t="s">
        <v>482</v>
      </c>
      <c r="H11" s="130"/>
    </row>
    <row r="12" spans="2:8" s="34" customFormat="1" ht="15" x14ac:dyDescent="0.3">
      <c r="B12" s="130">
        <v>3</v>
      </c>
      <c r="C12" s="131">
        <v>42152</v>
      </c>
      <c r="D12" s="132" t="s">
        <v>480</v>
      </c>
      <c r="E12" s="130">
        <v>838942</v>
      </c>
      <c r="F12" s="130" t="s">
        <v>483</v>
      </c>
      <c r="G12" s="132" t="s">
        <v>484</v>
      </c>
      <c r="H12" s="130"/>
    </row>
    <row r="13" spans="2:8" s="34" customFormat="1" ht="15" x14ac:dyDescent="0.3">
      <c r="B13" s="130">
        <v>4</v>
      </c>
      <c r="C13" s="131">
        <v>42159</v>
      </c>
      <c r="D13" s="132" t="s">
        <v>480</v>
      </c>
      <c r="E13" s="130">
        <v>846986</v>
      </c>
      <c r="F13" s="130"/>
      <c r="G13" s="132" t="s">
        <v>495</v>
      </c>
      <c r="H13" s="130" t="s">
        <v>496</v>
      </c>
    </row>
    <row r="14" spans="2:8" s="34" customFormat="1" ht="15" x14ac:dyDescent="0.3">
      <c r="B14" s="130">
        <v>5</v>
      </c>
      <c r="C14" s="131">
        <v>42160</v>
      </c>
      <c r="D14" s="132" t="s">
        <v>480</v>
      </c>
      <c r="E14" s="130">
        <v>847920</v>
      </c>
      <c r="F14" s="130" t="s">
        <v>499</v>
      </c>
      <c r="G14" s="132" t="s">
        <v>497</v>
      </c>
      <c r="H14" s="130" t="s">
        <v>498</v>
      </c>
    </row>
    <row r="15" spans="2:8" s="34" customFormat="1" ht="15" x14ac:dyDescent="0.3">
      <c r="B15" s="130">
        <v>6</v>
      </c>
      <c r="C15" s="131">
        <v>42170</v>
      </c>
      <c r="D15" s="132" t="s">
        <v>480</v>
      </c>
      <c r="E15" s="130">
        <v>853266</v>
      </c>
      <c r="F15" s="130" t="s">
        <v>539</v>
      </c>
      <c r="G15" s="132" t="s">
        <v>535</v>
      </c>
      <c r="H15" s="130" t="s">
        <v>536</v>
      </c>
    </row>
    <row r="16" spans="2:8" s="34" customFormat="1" ht="15" x14ac:dyDescent="0.3">
      <c r="B16" s="130">
        <v>7</v>
      </c>
      <c r="C16" s="131">
        <v>42174</v>
      </c>
      <c r="D16" s="132" t="s">
        <v>480</v>
      </c>
      <c r="E16" s="130">
        <v>856187</v>
      </c>
      <c r="F16" s="130" t="s">
        <v>540</v>
      </c>
      <c r="G16" s="132" t="s">
        <v>541</v>
      </c>
      <c r="H16" s="130" t="s">
        <v>542</v>
      </c>
    </row>
    <row r="17" spans="2:8" s="34" customFormat="1" ht="60" x14ac:dyDescent="0.3">
      <c r="B17" s="130">
        <v>8</v>
      </c>
      <c r="C17" s="131">
        <v>42194</v>
      </c>
      <c r="D17" s="132" t="s">
        <v>480</v>
      </c>
      <c r="E17" s="130">
        <v>866249</v>
      </c>
      <c r="F17" s="130" t="s">
        <v>547</v>
      </c>
      <c r="G17" s="132" t="s">
        <v>557</v>
      </c>
      <c r="H17" s="130" t="s">
        <v>542</v>
      </c>
    </row>
    <row r="18" spans="2:8" s="34" customFormat="1" ht="15" x14ac:dyDescent="0.3">
      <c r="B18" s="130">
        <v>9</v>
      </c>
      <c r="C18" s="131">
        <v>42195</v>
      </c>
      <c r="D18" s="132" t="s">
        <v>480</v>
      </c>
      <c r="E18" s="130">
        <v>867470</v>
      </c>
      <c r="F18" s="130" t="s">
        <v>559</v>
      </c>
      <c r="G18" s="132" t="s">
        <v>558</v>
      </c>
      <c r="H18" s="130" t="s">
        <v>542</v>
      </c>
    </row>
    <row r="19" spans="2:8" s="34" customFormat="1" ht="15" x14ac:dyDescent="0.3">
      <c r="B19" s="130">
        <v>10</v>
      </c>
      <c r="C19" s="131">
        <v>42201</v>
      </c>
      <c r="D19" s="132" t="s">
        <v>480</v>
      </c>
      <c r="E19" s="130">
        <v>872114</v>
      </c>
      <c r="F19" s="130" t="s">
        <v>560</v>
      </c>
      <c r="G19" s="132" t="s">
        <v>561</v>
      </c>
      <c r="H19" s="130" t="s">
        <v>542</v>
      </c>
    </row>
    <row r="20" spans="2:8" s="34" customFormat="1" ht="30" x14ac:dyDescent="0.3">
      <c r="B20" s="130">
        <v>11</v>
      </c>
      <c r="C20" s="131">
        <v>42228</v>
      </c>
      <c r="D20" s="132" t="s">
        <v>480</v>
      </c>
      <c r="E20" s="130">
        <v>866238</v>
      </c>
      <c r="F20" s="130" t="s">
        <v>572</v>
      </c>
      <c r="G20" s="132" t="s">
        <v>562</v>
      </c>
      <c r="H20" s="130" t="s">
        <v>563</v>
      </c>
    </row>
    <row r="21" spans="2:8" s="34" customFormat="1" ht="15" x14ac:dyDescent="0.3">
      <c r="B21" s="130">
        <v>12</v>
      </c>
      <c r="C21" s="131">
        <v>42235</v>
      </c>
      <c r="D21" s="132" t="s">
        <v>480</v>
      </c>
      <c r="E21" s="130">
        <v>854297</v>
      </c>
      <c r="F21" s="130" t="s">
        <v>575</v>
      </c>
      <c r="G21" s="132" t="s">
        <v>574</v>
      </c>
      <c r="H21" s="130" t="s">
        <v>573</v>
      </c>
    </row>
    <row r="22" spans="2:8" s="34" customFormat="1" ht="15" x14ac:dyDescent="0.3">
      <c r="B22" s="130">
        <v>13</v>
      </c>
      <c r="C22" s="131">
        <v>42247</v>
      </c>
      <c r="D22" s="132" t="s">
        <v>480</v>
      </c>
      <c r="E22" s="130">
        <v>899343</v>
      </c>
      <c r="F22" s="130" t="s">
        <v>576</v>
      </c>
      <c r="G22" s="132" t="s">
        <v>577</v>
      </c>
      <c r="H22" s="130"/>
    </row>
    <row r="23" spans="2:8" s="34" customFormat="1" ht="15" x14ac:dyDescent="0.3">
      <c r="B23" s="130">
        <v>14</v>
      </c>
      <c r="C23" s="131">
        <v>42317</v>
      </c>
      <c r="D23" s="132" t="s">
        <v>594</v>
      </c>
      <c r="E23" s="130">
        <v>936684</v>
      </c>
      <c r="F23" s="130" t="s">
        <v>595</v>
      </c>
      <c r="G23" s="132" t="s">
        <v>596</v>
      </c>
      <c r="H23" s="130" t="s">
        <v>498</v>
      </c>
    </row>
    <row r="24" spans="2:8" s="34" customFormat="1" ht="60" x14ac:dyDescent="0.3">
      <c r="B24" s="130">
        <v>15</v>
      </c>
      <c r="C24" s="131">
        <v>42340</v>
      </c>
      <c r="D24" s="132" t="s">
        <v>607</v>
      </c>
      <c r="E24" s="130">
        <v>927470</v>
      </c>
      <c r="F24" s="130" t="s">
        <v>608</v>
      </c>
      <c r="G24" s="132" t="s">
        <v>609</v>
      </c>
      <c r="H24" s="130" t="s">
        <v>610</v>
      </c>
    </row>
    <row r="25" spans="2:8" s="34" customFormat="1" ht="15" x14ac:dyDescent="0.3">
      <c r="B25" s="130">
        <v>16</v>
      </c>
      <c r="C25" s="131">
        <v>42356</v>
      </c>
      <c r="D25" s="132" t="s">
        <v>607</v>
      </c>
      <c r="E25" s="130">
        <v>924255</v>
      </c>
      <c r="F25" s="130" t="s">
        <v>783</v>
      </c>
      <c r="G25" s="132" t="s">
        <v>784</v>
      </c>
      <c r="H25" s="130" t="s">
        <v>785</v>
      </c>
    </row>
    <row r="26" spans="2:8" s="34" customFormat="1" ht="15" x14ac:dyDescent="0.3">
      <c r="B26" s="130">
        <v>17</v>
      </c>
      <c r="C26" s="131">
        <v>42404</v>
      </c>
      <c r="D26" s="132" t="s">
        <v>607</v>
      </c>
      <c r="E26" s="130">
        <v>970560</v>
      </c>
      <c r="F26" s="130" t="s">
        <v>786</v>
      </c>
      <c r="G26" s="132" t="s">
        <v>787</v>
      </c>
      <c r="H26" s="130" t="s">
        <v>788</v>
      </c>
    </row>
    <row r="27" spans="2:8" s="34" customFormat="1" ht="30" x14ac:dyDescent="0.3">
      <c r="B27" s="130">
        <v>18</v>
      </c>
      <c r="C27" s="131">
        <v>42409</v>
      </c>
      <c r="D27" s="132" t="s">
        <v>793</v>
      </c>
      <c r="E27" s="130">
        <v>971787</v>
      </c>
      <c r="F27" s="130" t="s">
        <v>794</v>
      </c>
      <c r="G27" s="132" t="s">
        <v>795</v>
      </c>
      <c r="H27" s="130" t="s">
        <v>573</v>
      </c>
    </row>
    <row r="28" spans="2:8" s="34" customFormat="1" ht="15" x14ac:dyDescent="0.3">
      <c r="B28" s="130">
        <v>19</v>
      </c>
      <c r="C28" s="131">
        <v>42410</v>
      </c>
      <c r="D28" s="132" t="s">
        <v>793</v>
      </c>
      <c r="E28" s="130">
        <v>965833</v>
      </c>
      <c r="F28" s="130" t="s">
        <v>805</v>
      </c>
      <c r="G28" s="132" t="s">
        <v>806</v>
      </c>
      <c r="H28" s="130" t="s">
        <v>807</v>
      </c>
    </row>
    <row r="29" spans="2:8" s="34" customFormat="1" ht="30" x14ac:dyDescent="0.3">
      <c r="B29" s="130">
        <v>20</v>
      </c>
      <c r="C29" s="131">
        <v>42418</v>
      </c>
      <c r="D29" s="132" t="s">
        <v>793</v>
      </c>
      <c r="E29" s="130">
        <v>936682</v>
      </c>
      <c r="F29" s="130" t="s">
        <v>810</v>
      </c>
      <c r="G29" s="132" t="s">
        <v>809</v>
      </c>
      <c r="H29" s="130" t="s">
        <v>573</v>
      </c>
    </row>
    <row r="30" spans="2:8" s="34" customFormat="1" ht="30" x14ac:dyDescent="0.3">
      <c r="B30" s="130">
        <v>21</v>
      </c>
      <c r="C30" s="131">
        <v>42424</v>
      </c>
      <c r="D30" s="132" t="s">
        <v>594</v>
      </c>
      <c r="E30" s="130">
        <v>973486</v>
      </c>
      <c r="F30" s="130" t="s">
        <v>811</v>
      </c>
      <c r="G30" s="132" t="s">
        <v>812</v>
      </c>
      <c r="H30" s="130" t="s">
        <v>813</v>
      </c>
    </row>
    <row r="31" spans="2:8" s="34" customFormat="1" ht="30" x14ac:dyDescent="0.3">
      <c r="B31" s="130">
        <v>22</v>
      </c>
      <c r="C31" s="131">
        <v>42431</v>
      </c>
      <c r="D31" s="132" t="s">
        <v>594</v>
      </c>
      <c r="E31" s="130">
        <v>964183</v>
      </c>
      <c r="F31" s="130" t="s">
        <v>814</v>
      </c>
      <c r="G31" s="132" t="s">
        <v>815</v>
      </c>
      <c r="H31" s="130" t="s">
        <v>816</v>
      </c>
    </row>
    <row r="32" spans="2:8" ht="30" x14ac:dyDescent="0.2">
      <c r="B32" s="134">
        <v>23</v>
      </c>
      <c r="C32" s="131">
        <v>42431</v>
      </c>
      <c r="D32" s="132" t="s">
        <v>594</v>
      </c>
      <c r="E32" s="130">
        <v>964968</v>
      </c>
      <c r="F32" s="130" t="s">
        <v>818</v>
      </c>
      <c r="G32" s="132" t="s">
        <v>819</v>
      </c>
      <c r="H32" s="130" t="s">
        <v>817</v>
      </c>
    </row>
    <row r="33" spans="2:8" ht="15" x14ac:dyDescent="0.2">
      <c r="B33" s="134">
        <v>24</v>
      </c>
      <c r="C33" s="131">
        <v>42433</v>
      </c>
      <c r="D33" s="132" t="s">
        <v>793</v>
      </c>
      <c r="E33" s="130">
        <v>973688</v>
      </c>
      <c r="F33" s="130" t="s">
        <v>839</v>
      </c>
      <c r="G33" s="132" t="s">
        <v>840</v>
      </c>
      <c r="H33" s="130" t="s">
        <v>841</v>
      </c>
    </row>
    <row r="34" spans="2:8" ht="45" x14ac:dyDescent="0.2">
      <c r="B34" s="134">
        <v>24</v>
      </c>
      <c r="C34" s="131">
        <v>42433</v>
      </c>
      <c r="D34" s="132" t="s">
        <v>845</v>
      </c>
      <c r="E34" s="130">
        <v>964966</v>
      </c>
      <c r="F34" s="130" t="s">
        <v>846</v>
      </c>
      <c r="G34" s="132" t="s">
        <v>847</v>
      </c>
      <c r="H34" s="130" t="s">
        <v>848</v>
      </c>
    </row>
    <row r="35" spans="2:8" ht="15" x14ac:dyDescent="0.2">
      <c r="B35" s="134">
        <v>25</v>
      </c>
      <c r="C35" s="131">
        <v>42437</v>
      </c>
      <c r="D35" s="132" t="s">
        <v>849</v>
      </c>
      <c r="E35" s="130">
        <v>985115</v>
      </c>
      <c r="F35" s="130" t="s">
        <v>850</v>
      </c>
      <c r="G35" s="132" t="s">
        <v>851</v>
      </c>
      <c r="H35" s="130" t="s">
        <v>813</v>
      </c>
    </row>
    <row r="36" spans="2:8" ht="15" x14ac:dyDescent="0.2">
      <c r="B36" s="134">
        <v>26</v>
      </c>
      <c r="C36" s="131">
        <v>42438</v>
      </c>
      <c r="D36" s="132" t="s">
        <v>849</v>
      </c>
      <c r="E36" s="130">
        <v>985115</v>
      </c>
      <c r="F36" s="130" t="s">
        <v>853</v>
      </c>
      <c r="G36" s="132" t="s">
        <v>852</v>
      </c>
      <c r="H36" s="130" t="s">
        <v>813</v>
      </c>
    </row>
    <row r="37" spans="2:8" ht="30" x14ac:dyDescent="0.2">
      <c r="B37" s="134">
        <v>27</v>
      </c>
      <c r="C37" s="131">
        <v>42438</v>
      </c>
      <c r="D37" s="132" t="s">
        <v>849</v>
      </c>
      <c r="E37" s="130">
        <v>985115</v>
      </c>
      <c r="F37" s="130" t="s">
        <v>855</v>
      </c>
      <c r="G37" s="132" t="s">
        <v>854</v>
      </c>
      <c r="H37" s="130" t="s">
        <v>813</v>
      </c>
    </row>
    <row r="38" spans="2:8" ht="30" x14ac:dyDescent="0.2">
      <c r="B38" s="134">
        <v>28</v>
      </c>
      <c r="C38" s="131">
        <v>42438</v>
      </c>
      <c r="D38" s="132" t="s">
        <v>858</v>
      </c>
      <c r="E38" s="130">
        <v>986916</v>
      </c>
      <c r="F38" s="130" t="s">
        <v>856</v>
      </c>
      <c r="G38" s="132" t="s">
        <v>857</v>
      </c>
      <c r="H38" s="130" t="s">
        <v>816</v>
      </c>
    </row>
    <row r="39" spans="2:8" ht="30" x14ac:dyDescent="0.2">
      <c r="B39" s="134">
        <v>29</v>
      </c>
      <c r="C39" s="131">
        <v>42438</v>
      </c>
      <c r="D39" s="132" t="s">
        <v>868</v>
      </c>
      <c r="E39" s="130">
        <v>973689</v>
      </c>
      <c r="F39" s="130" t="s">
        <v>869</v>
      </c>
      <c r="G39" s="132" t="s">
        <v>870</v>
      </c>
      <c r="H39" s="130" t="s">
        <v>871</v>
      </c>
    </row>
    <row r="40" spans="2:8" ht="15" x14ac:dyDescent="0.2">
      <c r="B40" s="134">
        <v>30</v>
      </c>
      <c r="C40" s="131">
        <v>42440</v>
      </c>
      <c r="D40" s="132" t="s">
        <v>874</v>
      </c>
      <c r="E40" s="130">
        <v>983253</v>
      </c>
      <c r="F40" s="130" t="s">
        <v>875</v>
      </c>
      <c r="G40" s="132" t="s">
        <v>876</v>
      </c>
      <c r="H40" s="130" t="s">
        <v>877</v>
      </c>
    </row>
    <row r="41" spans="2:8" ht="15" x14ac:dyDescent="0.2">
      <c r="B41" s="134">
        <v>31</v>
      </c>
      <c r="C41" s="131">
        <v>42440</v>
      </c>
      <c r="D41" s="132" t="s">
        <v>793</v>
      </c>
      <c r="E41" s="130">
        <v>988910</v>
      </c>
      <c r="F41" s="130" t="s">
        <v>879</v>
      </c>
      <c r="G41" s="132" t="s">
        <v>880</v>
      </c>
      <c r="H41" s="130" t="s">
        <v>807</v>
      </c>
    </row>
    <row r="42" spans="2:8" ht="30" x14ac:dyDescent="0.2">
      <c r="B42" s="134">
        <v>32</v>
      </c>
      <c r="C42" s="131">
        <v>42445</v>
      </c>
      <c r="D42" s="132" t="s">
        <v>793</v>
      </c>
      <c r="E42" s="130">
        <v>990460</v>
      </c>
      <c r="F42" s="130" t="s">
        <v>882</v>
      </c>
      <c r="G42" s="132" t="s">
        <v>883</v>
      </c>
      <c r="H42" s="130" t="s">
        <v>813</v>
      </c>
    </row>
    <row r="43" spans="2:8" ht="30" x14ac:dyDescent="0.2">
      <c r="B43" s="134">
        <v>33</v>
      </c>
      <c r="C43" s="131">
        <v>42446</v>
      </c>
      <c r="D43" s="132" t="s">
        <v>884</v>
      </c>
      <c r="E43" s="130">
        <v>985899</v>
      </c>
      <c r="F43" s="130" t="s">
        <v>885</v>
      </c>
      <c r="G43" s="132" t="s">
        <v>886</v>
      </c>
      <c r="H43" s="130" t="s">
        <v>877</v>
      </c>
    </row>
    <row r="44" spans="2:8" ht="30" x14ac:dyDescent="0.2">
      <c r="B44" s="134">
        <v>34</v>
      </c>
      <c r="C44" s="131">
        <v>42447</v>
      </c>
      <c r="D44" s="132" t="s">
        <v>884</v>
      </c>
      <c r="E44" s="130">
        <v>988908</v>
      </c>
      <c r="F44" s="130" t="s">
        <v>898</v>
      </c>
      <c r="G44" s="132" t="s">
        <v>899</v>
      </c>
      <c r="H44" s="130" t="s">
        <v>877</v>
      </c>
    </row>
    <row r="45" spans="2:8" ht="30" x14ac:dyDescent="0.2">
      <c r="B45" s="134">
        <v>35</v>
      </c>
      <c r="C45" s="131">
        <v>42450</v>
      </c>
      <c r="D45" s="132" t="s">
        <v>884</v>
      </c>
      <c r="E45" s="130">
        <v>980760</v>
      </c>
      <c r="F45" s="130" t="s">
        <v>900</v>
      </c>
      <c r="G45" s="132" t="s">
        <v>901</v>
      </c>
      <c r="H45" s="130" t="s">
        <v>877</v>
      </c>
    </row>
    <row r="46" spans="2:8" ht="30" x14ac:dyDescent="0.2">
      <c r="B46" s="134">
        <v>36</v>
      </c>
      <c r="C46" s="131">
        <v>42459</v>
      </c>
      <c r="D46" s="132" t="s">
        <v>884</v>
      </c>
      <c r="E46" s="130">
        <v>992268</v>
      </c>
      <c r="F46" s="130" t="s">
        <v>902</v>
      </c>
      <c r="G46" s="132" t="s">
        <v>903</v>
      </c>
      <c r="H46" s="130" t="s">
        <v>904</v>
      </c>
    </row>
    <row r="47" spans="2:8" ht="30" x14ac:dyDescent="0.2">
      <c r="B47" s="134">
        <v>37</v>
      </c>
      <c r="C47" s="131">
        <v>42461</v>
      </c>
      <c r="D47" s="132" t="s">
        <v>849</v>
      </c>
      <c r="E47" s="130">
        <v>994659</v>
      </c>
      <c r="F47" s="130" t="s">
        <v>905</v>
      </c>
      <c r="G47" s="132" t="s">
        <v>906</v>
      </c>
      <c r="H47" s="130" t="s">
        <v>904</v>
      </c>
    </row>
    <row r="48" spans="2:8" ht="45" x14ac:dyDescent="0.2">
      <c r="B48" s="134">
        <v>38</v>
      </c>
      <c r="C48" s="131">
        <v>42464</v>
      </c>
      <c r="D48" s="131" t="s">
        <v>793</v>
      </c>
      <c r="E48" s="132">
        <v>997829</v>
      </c>
      <c r="F48" s="130" t="s">
        <v>908</v>
      </c>
      <c r="G48" s="130" t="s">
        <v>907</v>
      </c>
      <c r="H48" s="132" t="s">
        <v>573</v>
      </c>
    </row>
    <row r="49" spans="2:8" ht="15" x14ac:dyDescent="0.2">
      <c r="B49" s="134">
        <v>39</v>
      </c>
      <c r="C49" s="131">
        <v>42471</v>
      </c>
      <c r="D49" s="131" t="s">
        <v>910</v>
      </c>
      <c r="E49" s="132">
        <v>994384</v>
      </c>
      <c r="F49" s="130" t="s">
        <v>913</v>
      </c>
      <c r="G49" s="130" t="s">
        <v>911</v>
      </c>
      <c r="H49" s="132" t="s">
        <v>871</v>
      </c>
    </row>
    <row r="50" spans="2:8" ht="30" x14ac:dyDescent="0.2">
      <c r="B50" s="134">
        <v>40</v>
      </c>
      <c r="C50" s="131">
        <v>42472</v>
      </c>
      <c r="D50" s="131" t="s">
        <v>793</v>
      </c>
      <c r="E50" s="132">
        <v>994521</v>
      </c>
      <c r="F50" s="130" t="s">
        <v>914</v>
      </c>
      <c r="G50" s="130" t="s">
        <v>915</v>
      </c>
      <c r="H50" s="132" t="s">
        <v>916</v>
      </c>
    </row>
    <row r="51" spans="2:8" ht="30" x14ac:dyDescent="0.2">
      <c r="B51" s="134">
        <v>41</v>
      </c>
      <c r="C51" s="131">
        <v>42474</v>
      </c>
      <c r="D51" s="131" t="s">
        <v>793</v>
      </c>
      <c r="E51" s="132">
        <v>993316</v>
      </c>
      <c r="F51" s="130" t="s">
        <v>917</v>
      </c>
      <c r="G51" s="130" t="s">
        <v>918</v>
      </c>
      <c r="H51" s="132" t="s">
        <v>919</v>
      </c>
    </row>
    <row r="52" spans="2:8" ht="45" x14ac:dyDescent="0.2">
      <c r="B52" s="134">
        <v>42</v>
      </c>
      <c r="C52" s="131">
        <v>42478</v>
      </c>
      <c r="D52" s="131" t="s">
        <v>793</v>
      </c>
      <c r="E52" s="132">
        <v>914550</v>
      </c>
      <c r="F52" s="130" t="s">
        <v>924</v>
      </c>
      <c r="G52" s="130" t="s">
        <v>923</v>
      </c>
      <c r="H52" s="132" t="s">
        <v>573</v>
      </c>
    </row>
    <row r="53" spans="2:8" ht="30" x14ac:dyDescent="0.2">
      <c r="B53" s="134">
        <v>43</v>
      </c>
      <c r="C53" s="131">
        <v>42481</v>
      </c>
      <c r="D53" s="131" t="s">
        <v>793</v>
      </c>
      <c r="E53" s="132">
        <v>999200</v>
      </c>
      <c r="F53" s="130" t="s">
        <v>927</v>
      </c>
      <c r="G53" s="130" t="s">
        <v>925</v>
      </c>
      <c r="H53" s="132" t="s">
        <v>926</v>
      </c>
    </row>
    <row r="54" spans="2:8" ht="30" x14ac:dyDescent="0.2">
      <c r="B54" s="134">
        <v>44</v>
      </c>
      <c r="C54" s="131">
        <v>42486</v>
      </c>
      <c r="D54" s="131" t="s">
        <v>932</v>
      </c>
      <c r="E54" s="132">
        <v>986958</v>
      </c>
      <c r="F54" s="130" t="s">
        <v>933</v>
      </c>
      <c r="G54" s="130" t="s">
        <v>934</v>
      </c>
      <c r="H54" s="132" t="s">
        <v>919</v>
      </c>
    </row>
    <row r="55" spans="2:8" ht="30" x14ac:dyDescent="0.2">
      <c r="B55" s="134">
        <v>45</v>
      </c>
      <c r="C55" s="131">
        <v>42503</v>
      </c>
      <c r="D55" s="131" t="s">
        <v>942</v>
      </c>
      <c r="E55" s="132">
        <v>1005340</v>
      </c>
      <c r="F55" s="130" t="s">
        <v>942</v>
      </c>
      <c r="G55" s="130" t="s">
        <v>941</v>
      </c>
      <c r="H55" s="132" t="s">
        <v>943</v>
      </c>
    </row>
    <row r="56" spans="2:8" ht="15" x14ac:dyDescent="0.2">
      <c r="B56" s="134">
        <v>46</v>
      </c>
      <c r="C56" s="131">
        <v>42513</v>
      </c>
      <c r="D56" s="131" t="s">
        <v>949</v>
      </c>
      <c r="E56" s="132">
        <v>1014147</v>
      </c>
      <c r="F56" s="130" t="s">
        <v>949</v>
      </c>
      <c r="G56" s="130" t="s">
        <v>950</v>
      </c>
      <c r="H56" s="132" t="s">
        <v>943</v>
      </c>
    </row>
    <row r="57" spans="2:8" ht="30" x14ac:dyDescent="0.2">
      <c r="B57" s="134">
        <v>47</v>
      </c>
      <c r="C57" s="131">
        <v>42514</v>
      </c>
      <c r="D57" s="131" t="s">
        <v>953</v>
      </c>
      <c r="E57" s="132">
        <v>1019141</v>
      </c>
      <c r="F57" s="130" t="s">
        <v>954</v>
      </c>
      <c r="G57" s="130" t="s">
        <v>952</v>
      </c>
      <c r="H57" s="132" t="s">
        <v>916</v>
      </c>
    </row>
    <row r="58" spans="2:8" ht="15" x14ac:dyDescent="0.2">
      <c r="B58" s="134">
        <v>48</v>
      </c>
      <c r="C58" s="131">
        <v>42515</v>
      </c>
      <c r="D58" s="131" t="s">
        <v>956</v>
      </c>
      <c r="E58" s="132">
        <v>1018053</v>
      </c>
      <c r="F58" s="130" t="s">
        <v>956</v>
      </c>
      <c r="G58" s="130" t="s">
        <v>955</v>
      </c>
      <c r="H58" s="132" t="s">
        <v>943</v>
      </c>
    </row>
    <row r="59" spans="2:8" ht="30" x14ac:dyDescent="0.2">
      <c r="B59" s="134">
        <v>49</v>
      </c>
      <c r="C59" s="131">
        <v>42529</v>
      </c>
      <c r="D59" s="131" t="s">
        <v>793</v>
      </c>
      <c r="E59" s="132">
        <v>1024563</v>
      </c>
      <c r="F59" s="130" t="s">
        <v>927</v>
      </c>
      <c r="G59" s="130" t="s">
        <v>957</v>
      </c>
      <c r="H59" s="132" t="s">
        <v>919</v>
      </c>
    </row>
    <row r="60" spans="2:8" ht="30" x14ac:dyDescent="0.2">
      <c r="B60" s="134">
        <v>50</v>
      </c>
      <c r="C60" s="131">
        <v>42529</v>
      </c>
      <c r="D60" s="131" t="s">
        <v>793</v>
      </c>
      <c r="E60" s="132">
        <v>1023472</v>
      </c>
      <c r="F60" s="130" t="s">
        <v>958</v>
      </c>
      <c r="G60" s="130" t="s">
        <v>959</v>
      </c>
      <c r="H60" s="132" t="s">
        <v>919</v>
      </c>
    </row>
    <row r="61" spans="2:8" ht="30" x14ac:dyDescent="0.2">
      <c r="B61" s="134">
        <v>51</v>
      </c>
      <c r="C61" s="131">
        <v>42530</v>
      </c>
      <c r="D61" s="131" t="s">
        <v>793</v>
      </c>
      <c r="E61" s="132">
        <v>1023473</v>
      </c>
      <c r="F61" s="130" t="s">
        <v>960</v>
      </c>
      <c r="G61" s="130" t="s">
        <v>961</v>
      </c>
      <c r="H61" s="132" t="s">
        <v>919</v>
      </c>
    </row>
    <row r="62" spans="2:8" ht="45" x14ac:dyDescent="0.2">
      <c r="B62" s="134">
        <v>52</v>
      </c>
      <c r="C62" s="131">
        <v>42534</v>
      </c>
      <c r="D62" s="131" t="s">
        <v>962</v>
      </c>
      <c r="E62" s="132">
        <v>1020398</v>
      </c>
      <c r="F62" s="130" t="s">
        <v>963</v>
      </c>
      <c r="G62" s="130" t="s">
        <v>964</v>
      </c>
      <c r="H62" s="132" t="s">
        <v>871</v>
      </c>
    </row>
    <row r="63" spans="2:8" ht="60" x14ac:dyDescent="0.2">
      <c r="B63" s="134">
        <v>53</v>
      </c>
      <c r="C63" s="131">
        <v>42536</v>
      </c>
      <c r="D63" s="131" t="s">
        <v>793</v>
      </c>
      <c r="E63" s="132">
        <v>1021528</v>
      </c>
      <c r="F63" s="130" t="s">
        <v>970</v>
      </c>
      <c r="G63" s="130" t="s">
        <v>969</v>
      </c>
      <c r="H63" s="132" t="s">
        <v>813</v>
      </c>
    </row>
    <row r="64" spans="2:8" ht="60" x14ac:dyDescent="0.2">
      <c r="B64" s="122">
        <v>54</v>
      </c>
      <c r="C64" s="144">
        <v>42537</v>
      </c>
      <c r="D64" s="131" t="s">
        <v>793</v>
      </c>
      <c r="E64">
        <v>1028212</v>
      </c>
      <c r="F64" s="19" t="s">
        <v>974</v>
      </c>
      <c r="G64" s="130" t="s">
        <v>975</v>
      </c>
      <c r="H64" s="19" t="s">
        <v>976</v>
      </c>
    </row>
    <row r="65" spans="2:8" ht="45" x14ac:dyDescent="0.2">
      <c r="B65" s="122">
        <v>55</v>
      </c>
      <c r="C65" s="144">
        <v>42548</v>
      </c>
      <c r="D65" s="131" t="s">
        <v>978</v>
      </c>
      <c r="E65" s="33">
        <v>1033551</v>
      </c>
      <c r="F65" s="19" t="s">
        <v>979</v>
      </c>
      <c r="G65" s="130" t="s">
        <v>980</v>
      </c>
      <c r="H65" s="132" t="s">
        <v>919</v>
      </c>
    </row>
    <row r="66" spans="2:8" ht="45" x14ac:dyDescent="0.2">
      <c r="B66" s="145">
        <v>56</v>
      </c>
      <c r="C66" s="146">
        <v>42550</v>
      </c>
      <c r="D66" s="131" t="s">
        <v>932</v>
      </c>
      <c r="E66" s="132">
        <v>1030314</v>
      </c>
      <c r="F66" s="130" t="s">
        <v>933</v>
      </c>
      <c r="G66" s="130" t="s">
        <v>982</v>
      </c>
      <c r="H66" s="132" t="s">
        <v>981</v>
      </c>
    </row>
    <row r="67" spans="2:8" ht="45" x14ac:dyDescent="0.2">
      <c r="B67" s="145">
        <v>57</v>
      </c>
      <c r="C67" s="146">
        <v>42555</v>
      </c>
      <c r="D67" s="131" t="s">
        <v>932</v>
      </c>
      <c r="E67" s="132">
        <v>1036916</v>
      </c>
      <c r="F67" s="130" t="s">
        <v>933</v>
      </c>
      <c r="G67" s="130" t="s">
        <v>983</v>
      </c>
      <c r="H67" s="132" t="s">
        <v>984</v>
      </c>
    </row>
    <row r="68" spans="2:8" ht="25.5" x14ac:dyDescent="0.2">
      <c r="B68" s="122">
        <v>58</v>
      </c>
      <c r="C68" s="144">
        <v>42558</v>
      </c>
      <c r="D68" s="147" t="s">
        <v>986</v>
      </c>
      <c r="E68" s="19">
        <v>1037880</v>
      </c>
      <c r="F68" s="147" t="s">
        <v>986</v>
      </c>
      <c r="G68" s="19" t="s">
        <v>985</v>
      </c>
      <c r="H68" s="19" t="s">
        <v>943</v>
      </c>
    </row>
    <row r="69" spans="2:8" ht="45" x14ac:dyDescent="0.2">
      <c r="B69" s="145">
        <v>59</v>
      </c>
      <c r="C69" s="146">
        <v>42563</v>
      </c>
      <c r="D69" s="131" t="s">
        <v>932</v>
      </c>
      <c r="E69" s="132">
        <v>1036916</v>
      </c>
      <c r="F69" s="130" t="s">
        <v>933</v>
      </c>
      <c r="G69" s="130" t="s">
        <v>987</v>
      </c>
      <c r="H69" s="132" t="s">
        <v>984</v>
      </c>
    </row>
    <row r="70" spans="2:8" x14ac:dyDescent="0.2">
      <c r="B70" s="122"/>
      <c r="C70" s="122"/>
      <c r="D70" s="19" t="s">
        <v>995</v>
      </c>
      <c r="E70" s="19">
        <v>1043591</v>
      </c>
      <c r="F70" s="19" t="s">
        <v>995</v>
      </c>
      <c r="G70" s="19" t="s">
        <v>996</v>
      </c>
      <c r="H70" s="19" t="s">
        <v>943</v>
      </c>
    </row>
    <row r="71" spans="2:8" x14ac:dyDescent="0.2">
      <c r="B71" s="122">
        <v>60</v>
      </c>
      <c r="C71" s="144">
        <v>42604</v>
      </c>
      <c r="D71" s="19" t="s">
        <v>793</v>
      </c>
      <c r="E71" s="19">
        <v>1056187</v>
      </c>
      <c r="F71" s="19" t="s">
        <v>998</v>
      </c>
      <c r="G71" s="19" t="s">
        <v>999</v>
      </c>
      <c r="H71" s="19" t="s">
        <v>573</v>
      </c>
    </row>
    <row r="72" spans="2:8" x14ac:dyDescent="0.2">
      <c r="B72" s="122">
        <v>61</v>
      </c>
      <c r="C72" s="144">
        <v>42606</v>
      </c>
      <c r="D72" s="19" t="s">
        <v>1001</v>
      </c>
      <c r="E72" s="19">
        <v>1055779</v>
      </c>
      <c r="F72" s="19" t="s">
        <v>1001</v>
      </c>
      <c r="G72" s="19" t="s">
        <v>1000</v>
      </c>
      <c r="H72" s="19" t="s">
        <v>943</v>
      </c>
    </row>
    <row r="73" spans="2:8" ht="15" x14ac:dyDescent="0.2">
      <c r="B73" s="122">
        <v>62</v>
      </c>
      <c r="C73" s="144">
        <v>42608</v>
      </c>
      <c r="D73" s="19" t="s">
        <v>793</v>
      </c>
      <c r="E73" s="19">
        <v>1059265</v>
      </c>
      <c r="F73" s="19" t="s">
        <v>1002</v>
      </c>
      <c r="G73" s="19" t="s">
        <v>1003</v>
      </c>
      <c r="H73" s="132" t="s">
        <v>919</v>
      </c>
    </row>
    <row r="74" spans="2:8" ht="45" x14ac:dyDescent="0.2">
      <c r="B74" s="122">
        <v>63</v>
      </c>
      <c r="C74" s="144">
        <v>42614</v>
      </c>
      <c r="D74" s="19" t="s">
        <v>1004</v>
      </c>
      <c r="E74" s="19">
        <v>1057271</v>
      </c>
      <c r="F74" s="19" t="s">
        <v>963</v>
      </c>
      <c r="G74" s="130" t="s">
        <v>1005</v>
      </c>
    </row>
    <row r="75" spans="2:8" ht="30" x14ac:dyDescent="0.2">
      <c r="B75" s="122">
        <v>64</v>
      </c>
      <c r="C75" s="144">
        <v>42621</v>
      </c>
      <c r="D75" s="19" t="s">
        <v>793</v>
      </c>
      <c r="E75" s="19">
        <v>1064137</v>
      </c>
      <c r="F75" s="19" t="s">
        <v>1026</v>
      </c>
      <c r="G75" s="130" t="s">
        <v>1027</v>
      </c>
      <c r="H75" s="132" t="s">
        <v>919</v>
      </c>
    </row>
    <row r="76" spans="2:8" ht="38.25" x14ac:dyDescent="0.2">
      <c r="B76" s="122">
        <v>65</v>
      </c>
      <c r="C76" s="144">
        <v>42704</v>
      </c>
      <c r="D76" s="19" t="s">
        <v>793</v>
      </c>
      <c r="E76" s="19">
        <v>1094471</v>
      </c>
      <c r="F76" s="19" t="s">
        <v>1035</v>
      </c>
      <c r="G76" s="147" t="s">
        <v>1033</v>
      </c>
      <c r="H76" s="19" t="s">
        <v>1034</v>
      </c>
    </row>
    <row r="77" spans="2:8" x14ac:dyDescent="0.2">
      <c r="B77" s="122"/>
      <c r="C77" s="122"/>
    </row>
    <row r="78" spans="2:8" x14ac:dyDescent="0.2">
      <c r="B78" s="122"/>
      <c r="C78" s="122"/>
    </row>
    <row r="79" spans="2:8" x14ac:dyDescent="0.2">
      <c r="B79" s="122"/>
      <c r="C79" s="122"/>
    </row>
    <row r="80" spans="2:8" x14ac:dyDescent="0.2">
      <c r="B80" s="122"/>
      <c r="C80" s="122"/>
    </row>
    <row r="81" spans="2:3" x14ac:dyDescent="0.2">
      <c r="B81" s="122"/>
      <c r="C81" s="122"/>
    </row>
    <row r="82" spans="2:3" x14ac:dyDescent="0.2">
      <c r="B82" s="122"/>
      <c r="C82" s="122"/>
    </row>
    <row r="83" spans="2:3" x14ac:dyDescent="0.2">
      <c r="B83" s="122"/>
      <c r="C83" s="122"/>
    </row>
    <row r="84" spans="2:3" x14ac:dyDescent="0.2">
      <c r="B84" s="122"/>
      <c r="C84" s="122"/>
    </row>
    <row r="85" spans="2:3" x14ac:dyDescent="0.2">
      <c r="B85" s="122"/>
      <c r="C85" s="122"/>
    </row>
    <row r="86" spans="2:3" x14ac:dyDescent="0.2">
      <c r="B86" s="122"/>
      <c r="C86" s="122"/>
    </row>
    <row r="87" spans="2:3" x14ac:dyDescent="0.2">
      <c r="B87" s="122"/>
      <c r="C87" s="122"/>
    </row>
    <row r="88" spans="2:3" x14ac:dyDescent="0.2">
      <c r="B88" s="122"/>
      <c r="C88" s="122"/>
    </row>
    <row r="89" spans="2:3" x14ac:dyDescent="0.2">
      <c r="B89" s="122"/>
      <c r="C89" s="122"/>
    </row>
    <row r="90" spans="2:3" x14ac:dyDescent="0.2">
      <c r="B90" s="122"/>
      <c r="C90" s="122"/>
    </row>
    <row r="91" spans="2:3" x14ac:dyDescent="0.2">
      <c r="B91" s="122"/>
      <c r="C91" s="122"/>
    </row>
    <row r="92" spans="2:3" x14ac:dyDescent="0.2">
      <c r="B92" s="122"/>
      <c r="C92" s="122"/>
    </row>
    <row r="93" spans="2:3" x14ac:dyDescent="0.2">
      <c r="B93" s="122"/>
      <c r="C93" s="122"/>
    </row>
    <row r="94" spans="2:3" x14ac:dyDescent="0.2">
      <c r="B94" s="122"/>
      <c r="C94" s="122"/>
    </row>
    <row r="95" spans="2:3" x14ac:dyDescent="0.2">
      <c r="B95" s="122"/>
      <c r="C95" s="122"/>
    </row>
    <row r="96" spans="2:3" x14ac:dyDescent="0.2">
      <c r="B96" s="122"/>
      <c r="C96" s="122"/>
    </row>
    <row r="97" spans="2:3" x14ac:dyDescent="0.2">
      <c r="B97" s="122"/>
      <c r="C97" s="122"/>
    </row>
    <row r="98" spans="2:3" x14ac:dyDescent="0.2">
      <c r="B98" s="122"/>
      <c r="C98" s="122"/>
    </row>
    <row r="99" spans="2:3" x14ac:dyDescent="0.2">
      <c r="B99" s="122"/>
      <c r="C99" s="122"/>
    </row>
    <row r="100" spans="2:3" x14ac:dyDescent="0.2">
      <c r="B100" s="122"/>
      <c r="C100" s="122"/>
    </row>
    <row r="101" spans="2:3" x14ac:dyDescent="0.2">
      <c r="B101" s="122"/>
      <c r="C101" s="122"/>
    </row>
    <row r="102" spans="2:3" x14ac:dyDescent="0.2">
      <c r="B102" s="122"/>
      <c r="C102" s="122"/>
    </row>
    <row r="103" spans="2:3" x14ac:dyDescent="0.2">
      <c r="B103" s="122"/>
      <c r="C103" s="122"/>
    </row>
    <row r="104" spans="2:3" x14ac:dyDescent="0.2">
      <c r="B104" s="122"/>
      <c r="C104" s="122"/>
    </row>
    <row r="105" spans="2:3" x14ac:dyDescent="0.2">
      <c r="B105" s="122"/>
      <c r="C105" s="122"/>
    </row>
    <row r="106" spans="2:3" x14ac:dyDescent="0.2">
      <c r="B106" s="122"/>
      <c r="C106" s="122"/>
    </row>
    <row r="107" spans="2:3" x14ac:dyDescent="0.2">
      <c r="B107" s="122"/>
      <c r="C107" s="122"/>
    </row>
    <row r="108" spans="2:3" x14ac:dyDescent="0.2">
      <c r="B108" s="122"/>
      <c r="C108" s="122"/>
    </row>
    <row r="109" spans="2:3" x14ac:dyDescent="0.2">
      <c r="B109" s="122"/>
      <c r="C109" s="122"/>
    </row>
    <row r="110" spans="2:3" x14ac:dyDescent="0.2">
      <c r="B110" s="122"/>
      <c r="C110" s="122"/>
    </row>
    <row r="111" spans="2:3" x14ac:dyDescent="0.2">
      <c r="B111" s="122"/>
      <c r="C111" s="122"/>
    </row>
    <row r="112" spans="2:3" x14ac:dyDescent="0.2">
      <c r="B112" s="122"/>
      <c r="C112" s="122"/>
    </row>
    <row r="113" spans="2:3" x14ac:dyDescent="0.2">
      <c r="B113" s="122"/>
      <c r="C113" s="122"/>
    </row>
    <row r="114" spans="2:3" x14ac:dyDescent="0.2">
      <c r="B114" s="122"/>
      <c r="C114" s="122"/>
    </row>
    <row r="115" spans="2:3" x14ac:dyDescent="0.2">
      <c r="B115" s="122"/>
      <c r="C115" s="122"/>
    </row>
    <row r="116" spans="2:3" x14ac:dyDescent="0.2">
      <c r="B116" s="122"/>
      <c r="C116" s="122"/>
    </row>
    <row r="117" spans="2:3" x14ac:dyDescent="0.2">
      <c r="B117" s="122"/>
      <c r="C117" s="122"/>
    </row>
    <row r="118" spans="2:3" x14ac:dyDescent="0.2">
      <c r="B118" s="122"/>
      <c r="C118" s="122"/>
    </row>
    <row r="119" spans="2:3" x14ac:dyDescent="0.2">
      <c r="B119" s="122"/>
      <c r="C119" s="122"/>
    </row>
    <row r="120" spans="2:3" x14ac:dyDescent="0.2">
      <c r="B120" s="122"/>
      <c r="C120" s="122"/>
    </row>
    <row r="121" spans="2:3" x14ac:dyDescent="0.2">
      <c r="B121" s="122"/>
      <c r="C121" s="122"/>
    </row>
    <row r="122" spans="2:3" x14ac:dyDescent="0.2">
      <c r="B122" s="122"/>
      <c r="C122" s="122"/>
    </row>
    <row r="123" spans="2:3" x14ac:dyDescent="0.2">
      <c r="B123" s="122"/>
      <c r="C123" s="122"/>
    </row>
    <row r="124" spans="2:3" x14ac:dyDescent="0.2">
      <c r="B124" s="122"/>
      <c r="C124" s="122"/>
    </row>
    <row r="125" spans="2:3" x14ac:dyDescent="0.2">
      <c r="B125" s="122"/>
      <c r="C125" s="122"/>
    </row>
    <row r="126" spans="2:3" x14ac:dyDescent="0.2">
      <c r="B126" s="122"/>
      <c r="C126" s="122"/>
    </row>
    <row r="127" spans="2:3" x14ac:dyDescent="0.2">
      <c r="B127" s="122"/>
      <c r="C127" s="122"/>
    </row>
    <row r="128" spans="2:3" x14ac:dyDescent="0.2">
      <c r="B128" s="122"/>
      <c r="C128" s="122"/>
    </row>
    <row r="129" spans="2:3" x14ac:dyDescent="0.2">
      <c r="B129" s="122"/>
      <c r="C129" s="122"/>
    </row>
    <row r="130" spans="2:3" x14ac:dyDescent="0.2">
      <c r="B130" s="122"/>
      <c r="C130" s="122"/>
    </row>
    <row r="131" spans="2:3" x14ac:dyDescent="0.2">
      <c r="B131" s="122"/>
      <c r="C131" s="122"/>
    </row>
    <row r="132" spans="2:3" x14ac:dyDescent="0.2">
      <c r="B132" s="122"/>
      <c r="C132" s="122"/>
    </row>
    <row r="133" spans="2:3" x14ac:dyDescent="0.2">
      <c r="B133" s="122"/>
      <c r="C133" s="122"/>
    </row>
    <row r="134" spans="2:3" x14ac:dyDescent="0.2">
      <c r="B134" s="122"/>
      <c r="C134" s="122"/>
    </row>
    <row r="135" spans="2:3" x14ac:dyDescent="0.2">
      <c r="B135" s="122"/>
      <c r="C135" s="122"/>
    </row>
    <row r="136" spans="2:3" x14ac:dyDescent="0.2">
      <c r="B136" s="122"/>
      <c r="C136" s="122"/>
    </row>
    <row r="137" spans="2:3" x14ac:dyDescent="0.2">
      <c r="B137" s="122"/>
      <c r="C137" s="122"/>
    </row>
    <row r="138" spans="2:3" x14ac:dyDescent="0.2">
      <c r="B138" s="122"/>
      <c r="C138" s="122"/>
    </row>
    <row r="139" spans="2:3" x14ac:dyDescent="0.2">
      <c r="B139" s="122"/>
      <c r="C139" s="122"/>
    </row>
    <row r="140" spans="2:3" x14ac:dyDescent="0.2">
      <c r="B140" s="122"/>
      <c r="C140" s="122"/>
    </row>
    <row r="141" spans="2:3" x14ac:dyDescent="0.2">
      <c r="B141" s="122"/>
      <c r="C141" s="122"/>
    </row>
    <row r="142" spans="2:3" x14ac:dyDescent="0.2">
      <c r="B142" s="122"/>
      <c r="C142" s="122"/>
    </row>
    <row r="143" spans="2:3" x14ac:dyDescent="0.2">
      <c r="B143" s="122"/>
      <c r="C143" s="122"/>
    </row>
    <row r="144" spans="2:3" x14ac:dyDescent="0.2">
      <c r="B144" s="122"/>
      <c r="C144" s="122"/>
    </row>
    <row r="145" spans="2:3" x14ac:dyDescent="0.2">
      <c r="B145" s="122"/>
      <c r="C145" s="122"/>
    </row>
    <row r="146" spans="2:3" x14ac:dyDescent="0.2">
      <c r="B146" s="122"/>
      <c r="C146" s="122"/>
    </row>
    <row r="147" spans="2:3" x14ac:dyDescent="0.2">
      <c r="B147" s="122"/>
      <c r="C147" s="122"/>
    </row>
    <row r="148" spans="2:3" x14ac:dyDescent="0.2">
      <c r="B148" s="122"/>
      <c r="C148" s="122"/>
    </row>
    <row r="149" spans="2:3" x14ac:dyDescent="0.2">
      <c r="B149" s="122"/>
      <c r="C149" s="122"/>
    </row>
    <row r="150" spans="2:3" x14ac:dyDescent="0.2">
      <c r="B150" s="122"/>
      <c r="C150" s="122"/>
    </row>
    <row r="151" spans="2:3" x14ac:dyDescent="0.2">
      <c r="B151" s="122"/>
      <c r="C151" s="122"/>
    </row>
    <row r="152" spans="2:3" x14ac:dyDescent="0.2">
      <c r="B152" s="122"/>
      <c r="C152" s="122"/>
    </row>
    <row r="153" spans="2:3" x14ac:dyDescent="0.2">
      <c r="B153" s="122"/>
      <c r="C153" s="122"/>
    </row>
    <row r="154" spans="2:3" x14ac:dyDescent="0.2">
      <c r="B154" s="122"/>
      <c r="C154" s="122"/>
    </row>
    <row r="155" spans="2:3" x14ac:dyDescent="0.2">
      <c r="B155" s="122"/>
      <c r="C155" s="122"/>
    </row>
    <row r="156" spans="2:3" x14ac:dyDescent="0.2">
      <c r="B156" s="122"/>
      <c r="C156" s="122"/>
    </row>
    <row r="157" spans="2:3" x14ac:dyDescent="0.2">
      <c r="B157" s="122"/>
      <c r="C157" s="122"/>
    </row>
    <row r="158" spans="2:3" x14ac:dyDescent="0.2">
      <c r="B158" s="122"/>
      <c r="C158" s="122"/>
    </row>
    <row r="159" spans="2:3" x14ac:dyDescent="0.2">
      <c r="B159" s="122"/>
      <c r="C159" s="122"/>
    </row>
    <row r="160" spans="2:3" x14ac:dyDescent="0.2">
      <c r="B160" s="122"/>
      <c r="C160" s="122"/>
    </row>
    <row r="161" spans="2:3" x14ac:dyDescent="0.2">
      <c r="B161" s="122"/>
      <c r="C161" s="122"/>
    </row>
    <row r="162" spans="2:3" x14ac:dyDescent="0.2">
      <c r="B162" s="122"/>
      <c r="C162" s="122"/>
    </row>
    <row r="163" spans="2:3" x14ac:dyDescent="0.2">
      <c r="B163" s="122"/>
      <c r="C163" s="122"/>
    </row>
    <row r="164" spans="2:3" x14ac:dyDescent="0.2">
      <c r="B164" s="122"/>
      <c r="C164" s="122"/>
    </row>
    <row r="165" spans="2:3" x14ac:dyDescent="0.2">
      <c r="B165" s="122"/>
      <c r="C165" s="122"/>
    </row>
    <row r="166" spans="2:3" x14ac:dyDescent="0.2">
      <c r="B166" s="122"/>
      <c r="C166" s="122"/>
    </row>
    <row r="167" spans="2:3" x14ac:dyDescent="0.2">
      <c r="B167" s="122"/>
      <c r="C167" s="122"/>
    </row>
    <row r="168" spans="2:3" x14ac:dyDescent="0.2">
      <c r="B168" s="122"/>
      <c r="C168" s="122"/>
    </row>
    <row r="169" spans="2:3" x14ac:dyDescent="0.2">
      <c r="B169" s="122"/>
      <c r="C169" s="122"/>
    </row>
    <row r="170" spans="2:3" x14ac:dyDescent="0.2">
      <c r="B170" s="122"/>
      <c r="C170" s="12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Commercial-Non_VoLTE</vt:lpstr>
      <vt:lpstr>Commercial-VoLTE</vt:lpstr>
      <vt:lpstr>CZech-VoLTE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Kolipaka, Srinivasa Shashank</dc:creator>
  <cp:lastModifiedBy>Qualcomm User</cp:lastModifiedBy>
  <dcterms:created xsi:type="dcterms:W3CDTF">2009-07-08T16:51:53Z</dcterms:created>
  <dcterms:modified xsi:type="dcterms:W3CDTF">2016-11-30T09:52:18Z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2040495085</vt:i4>
  </property>
  <property fmtid="{D5CDD505-2E9C-101B-9397-08002B2CF9AE}" pid="3" name="_NewReviewCycle">
    <vt:lpwstr/>
  </property>
  <property fmtid="{D5CDD505-2E9C-101B-9397-08002B2CF9AE}" pid="4" name="_EmailSubject">
    <vt:lpwstr>DT MBN (Attn - Ram J) </vt:lpwstr>
  </property>
  <property fmtid="{D5CDD505-2E9C-101B-9397-08002B2CF9AE}" pid="5" name="_AuthorEmail">
    <vt:lpwstr>ramjalah@qti.qualcomm.com</vt:lpwstr>
  </property>
  <property fmtid="{D5CDD505-2E9C-101B-9397-08002B2CF9AE}" pid="6" name="_AuthorEmailDisplayName">
    <vt:lpwstr>Jalahalli Krishnamurthappa, Ram</vt:lpwstr>
  </property>
  <property fmtid="{D5CDD505-2E9C-101B-9397-08002B2CF9AE}" pid="7" name="_PreviousAdHocReviewCycleID">
    <vt:i4>-1738660454</vt:i4>
  </property>
  <property fmtid="{D5CDD505-2E9C-101B-9397-08002B2CF9AE}" pid="8" name="_ReviewingToolsShownOnce">
    <vt:lpwstr/>
  </property>
</Properties>
</file>