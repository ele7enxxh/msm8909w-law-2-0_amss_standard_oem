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Jul13\mcfg.mpss.5.0.Jul13_jo50_1\modem_proc\mcfg\mcfg_gen\generic\LATAM\Brazil\"/>
    </mc:Choice>
  </mc:AlternateContent>
  <bookViews>
    <workbookView xWindow="45" yWindow="150" windowWidth="19155" windowHeight="9375" tabRatio="567"/>
  </bookViews>
  <sheets>
    <sheet name="Summary" sheetId="10" r:id="rId1"/>
    <sheet name="Commercial" sheetId="58" r:id="rId2"/>
    <sheet name="Revision History" sheetId="8" r:id="rId3"/>
  </sheets>
  <functionGroups builtInGroupCount="18"/>
  <calcPr calcId="152511"/>
</workbook>
</file>

<file path=xl/calcChain.xml><?xml version="1.0" encoding="utf-8"?>
<calcChain xmlns="http://schemas.openxmlformats.org/spreadsheetml/2006/main">
  <c r="F140" i="58" l="1"/>
  <c r="F138" i="58" s="1"/>
  <c r="F136" i="58" l="1"/>
  <c r="B13" i="10" l="1"/>
  <c r="E136" i="58"/>
  <c r="F132" i="58"/>
  <c r="F130" i="58" s="1"/>
  <c r="F127" i="58"/>
  <c r="E128" i="58" s="1"/>
  <c r="E125" i="58"/>
  <c r="B5" i="10" l="1"/>
  <c r="B4" i="10" l="1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<sst xmlns="http://schemas.openxmlformats.org/spreadsheetml/2006/main" count="424" uniqueCount="240">
  <si>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</si>
  <si>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</si>
  <si>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</si>
  <si>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</si>
  <si>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</si>
  <si>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</si>
  <si>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</si>
  <si>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</si>
  <si>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</si>
  <si>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</si>
  <si>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</si>
  <si>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</si>
  <si>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Banner</t>
  </si>
  <si>
    <t>banner</t>
  </si>
  <si>
    <t>letters</t>
  </si>
  <si>
    <t>0x00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</si>
  <si>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</si>
  <si>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</si>
  <si>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</si>
  <si>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</si>
  <si>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</si>
  <si>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</si>
  <si>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</si>
  <si>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</si>
  <si>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</si>
  <si>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</si>
  <si>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</si>
  <si>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</si>
  <si>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</si>
  <si>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</si>
  <si>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</si>
  <si>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</si>
  <si>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</si>
  <si>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</si>
  <si>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</si>
  <si>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</si>
  <si>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</si>
  <si>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</si>
  <si>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RRC Integrity Enabled</t>
  </si>
  <si>
    <t>RRC Ciphering Enabled</t>
  </si>
  <si>
    <t>RRC Fake Security Enabled</t>
  </si>
  <si>
    <t>0xFFFFFFFF</t>
  </si>
  <si>
    <t>efs_item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</si>
  <si>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</si>
  <si>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</si>
  <si>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</si>
  <si>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</si>
  <si>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</si>
  <si>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</si>
  <si>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</si>
  <si>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</si>
  <si>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</si>
  <si>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</si>
  <si>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</si>
  <si>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</si>
  <si>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</si>
  <si>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</si>
  <si>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</si>
  <si>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</si>
  <si>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</si>
  <si>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</si>
  <si>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</si>
  <si>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</si>
  <si>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</si>
  <si>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</si>
  <si>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</si>
  <si>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</si>
  <si>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</si>
  <si>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</si>
  <si>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</si>
  <si>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rrc_integrity_enabled</t>
  </si>
  <si>
    <t>rrc_ciphering_enabled</t>
  </si>
  <si>
    <t>rrc_fake_security_enabled</t>
  </si>
  <si>
    <t>NV_BAND_PREF_I</t>
  </si>
  <si>
    <t>band_pref</t>
  </si>
  <si>
    <t>NV_BAND_PREF_I6_32_I</t>
  </si>
  <si>
    <t>band_pref_16_31</t>
  </si>
  <si>
    <t>NV_BAND_PREF_32_63_I</t>
  </si>
  <si>
    <t>band_pref_32_63</t>
  </si>
  <si>
    <t>sms_gw_cb_config</t>
  </si>
  <si>
    <t>sms_gw_cb_user_pref</t>
  </si>
  <si>
    <t>WCDMA RX Diversity Control</t>
  </si>
  <si>
    <t>wcdma_rx_diversity_control</t>
  </si>
  <si>
    <t>0xFFFF</t>
  </si>
  <si>
    <t>For Debug purposes only</t>
  </si>
  <si>
    <t/>
  </si>
  <si>
    <t>version</t>
  </si>
  <si>
    <t>Carrier Version Update(s)</t>
  </si>
  <si>
    <t>Image</t>
  </si>
  <si>
    <t>SW Product</t>
  </si>
  <si>
    <t>MCFG PW</t>
  </si>
  <si>
    <t>MPSS Configuration Items Listing</t>
  </si>
  <si>
    <t>NV Items</t>
  </si>
  <si>
    <t>Spreadsheet statistics</t>
  </si>
  <si>
    <t>Total carrier configurations</t>
  </si>
  <si>
    <t>Total supported items (NV &amp; EFS)</t>
  </si>
  <si>
    <t>Select Carriers for Generation</t>
  </si>
  <si>
    <t>GENERIC</t>
  </si>
  <si>
    <t>Carrier</t>
  </si>
  <si>
    <t>Commercial</t>
  </si>
  <si>
    <t>MCFG.MPSS.5.0</t>
  </si>
  <si>
    <t>QC_version_type</t>
  </si>
  <si>
    <t>0x05</t>
  </si>
  <si>
    <t>QC_version_len</t>
  </si>
  <si>
    <t>QC_version</t>
  </si>
  <si>
    <t>Commercial MCFG SW Items List</t>
  </si>
  <si>
    <t>Brazil</t>
  </si>
  <si>
    <t>0 - Disables Diversity; 3 - Enables Diversity</t>
  </si>
  <si>
    <t>WCDMA Equalizer Control</t>
  </si>
  <si>
    <t>wcdma_equalizer_ctrl</t>
  </si>
  <si>
    <t>0x33 (51) to enable QICE</t>
  </si>
  <si>
    <t>WCDMA RRC Version</t>
  </si>
  <si>
    <t>wcdma_rrc_version</t>
  </si>
  <si>
    <t>HSDPA Category</t>
  </si>
  <si>
    <t>hsdpa_cat</t>
  </si>
  <si>
    <t>WCDMA HSUPA Category</t>
  </si>
  <si>
    <t>wcdma_hsupa_category</t>
  </si>
  <si>
    <t>UIM Select Default USIM Application</t>
  </si>
  <si>
    <t>uim_select_default_usim_app</t>
  </si>
  <si>
    <t>0 - used to activate the subscription through UI for both the Subs</t>
  </si>
  <si>
    <t>GSM/UMTS Cell Broadcast SMS Carrier Configuration</t>
  </si>
  <si>
    <t>1 - to enable CB</t>
  </si>
  <si>
    <t>GSM/UMTS Cell Broadcast SMS User Preference</t>
  </si>
  <si>
    <t>2 - to enable CB</t>
  </si>
  <si>
    <t>WCDMA CS Voice Over HSPA Enabled</t>
  </si>
  <si>
    <t>wcdma_cs_voice_over_hspa_enabled</t>
  </si>
  <si>
    <t>1 - split_Acq &amp; TA in signaling</t>
  </si>
  <si>
    <t>WCDMA Idle Mode Optimizations</t>
  </si>
  <si>
    <t>/nv/item_files/wcdma/idle/w_idle_mode_opt</t>
  </si>
  <si>
    <t>Parallel_Reacq_Disabled</t>
  </si>
  <si>
    <t>Offline_PICH_Disabled</t>
  </si>
  <si>
    <t>Neighbor_srch_opt_Disabled</t>
  </si>
  <si>
    <t>Offline_FullSrch_Disabled</t>
  </si>
  <si>
    <t>Inter_freq_offline_pn_disabled</t>
  </si>
  <si>
    <t>RF_Wakeup_Opt_On</t>
  </si>
  <si>
    <t>Reacq_Less_Pich_disabled</t>
  </si>
  <si>
    <t>Panic_Srch_Opts_Disabled</t>
  </si>
  <si>
    <t>reserved</t>
  </si>
  <si>
    <t>WCDMA CIR enhancement NV</t>
  </si>
  <si>
    <t>/nv/item_files/wcdma/cme/wcdma_cir_enh</t>
  </si>
  <si>
    <t>cirInterpEnable</t>
  </si>
  <si>
    <t>0xFF</t>
  </si>
  <si>
    <t>oneTapCirAlpha</t>
  </si>
  <si>
    <t>enableDopplerEstimation</t>
  </si>
  <si>
    <t>0x001E</t>
  </si>
  <si>
    <t>doppler</t>
  </si>
  <si>
    <t>sigmaScale</t>
  </si>
  <si>
    <t>WCDMA L1 QTA ROTA</t>
  </si>
  <si>
    <t>/nv/item_files/wcdma/l1/wl1_qta_rota</t>
  </si>
  <si>
    <t>wcdma_qta_rota</t>
  </si>
  <si>
    <t>PBM ECC Number</t>
  </si>
  <si>
    <t>/nv/item_files/pbm/pbm_ecc_nums</t>
  </si>
  <si>
    <t>[0].address</t>
  </si>
  <si>
    <t>[0].status</t>
  </si>
  <si>
    <t>[0].num_digits</t>
  </si>
  <si>
    <t>[0].digits</t>
  </si>
  <si>
    <t>[0].letters</t>
  </si>
  <si>
    <t>[0].sys_mode</t>
  </si>
  <si>
    <t>[1].address</t>
  </si>
  <si>
    <t>[1].status</t>
  </si>
  <si>
    <t>[1].num_digits</t>
  </si>
  <si>
    <t>[1].digits</t>
  </si>
  <si>
    <t>[1].letters</t>
  </si>
  <si>
    <t>[1].sys_mode</t>
  </si>
  <si>
    <t>[2].address</t>
  </si>
  <si>
    <t>[2].status</t>
  </si>
  <si>
    <t>[2].num_digits</t>
  </si>
  <si>
    <t>[2].digits</t>
  </si>
  <si>
    <t>[2].letters</t>
  </si>
  <si>
    <t>[2].sys_mode</t>
  </si>
  <si>
    <t>[3].address</t>
  </si>
  <si>
    <t>[3].status</t>
  </si>
  <si>
    <t>[3].num_digits</t>
  </si>
  <si>
    <t>[3].digits</t>
  </si>
  <si>
    <t>[3].letters</t>
  </si>
  <si>
    <t>[3].sys_mode</t>
  </si>
  <si>
    <t>[4].address</t>
  </si>
  <si>
    <t>[4].status</t>
  </si>
  <si>
    <t>[4].num_digits</t>
  </si>
  <si>
    <t>[4].digits</t>
  </si>
  <si>
    <t>[4].letters</t>
  </si>
  <si>
    <t>[4].sys_mode</t>
  </si>
  <si>
    <t>[5].address</t>
  </si>
  <si>
    <t>[5].status</t>
  </si>
  <si>
    <t>[5].num_digits</t>
  </si>
  <si>
    <t>[5].digits</t>
  </si>
  <si>
    <t>[5].letters</t>
  </si>
  <si>
    <t>[5].sys_mode</t>
  </si>
  <si>
    <t>[6].address</t>
  </si>
  <si>
    <t>[6].status</t>
  </si>
  <si>
    <t>[6].num_digits</t>
  </si>
  <si>
    <t>[6].digits</t>
  </si>
  <si>
    <t>[6].letters</t>
  </si>
  <si>
    <t>[6].sys_mode</t>
  </si>
  <si>
    <t>[7].address</t>
  </si>
  <si>
    <t>[7].status</t>
  </si>
  <si>
    <t>[7].num_digits</t>
  </si>
  <si>
    <t>[7].digits</t>
  </si>
  <si>
    <t>[7].letters</t>
  </si>
  <si>
    <t>[7].sys_mode</t>
  </si>
  <si>
    <t>[8].address</t>
  </si>
  <si>
    <t>[8].status</t>
  </si>
  <si>
    <t>[8].num_digits</t>
  </si>
  <si>
    <t>[8].digits</t>
  </si>
  <si>
    <t>[8].letters</t>
  </si>
  <si>
    <t>[8].sys_mode</t>
  </si>
  <si>
    <t>[9].address</t>
  </si>
  <si>
    <t>[9].status</t>
  </si>
  <si>
    <t>[9].num_digits</t>
  </si>
  <si>
    <t>[9].digits</t>
  </si>
  <si>
    <t>[9].letters</t>
  </si>
  <si>
    <t>[9].sys_mode</t>
  </si>
  <si>
    <t>Brazil_Commercial</t>
  </si>
  <si>
    <t>8955109, 8955053, 
8955031, 8955311</t>
  </si>
  <si>
    <t>Initial Brazil carrier specific spreadsheet</t>
  </si>
  <si>
    <t>None</t>
  </si>
  <si>
    <t>LATAM</t>
  </si>
  <si>
    <t>MCFG Updates</t>
  </si>
  <si>
    <t>Removed the NV 73502</t>
  </si>
  <si>
    <t>Commercial:0x05012103</t>
  </si>
  <si>
    <t>Commercial:0x05012104</t>
  </si>
  <si>
    <t>All configs</t>
  </si>
  <si>
    <t>NV850 Removed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</si>
  <si>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</si>
  <si>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</si>
  <si>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</si>
  <si>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</si>
  <si>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</si>
  <si>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</si>
  <si>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0x05012105</t>
  </si>
  <si>
    <t>FR31322: Support requirement for CMCC  Open Mkt and Subsidized phones with a single SKU.</t>
  </si>
  <si>
    <t>MCC_MNC List type</t>
  </si>
  <si>
    <t>0x06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</si>
  <si>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</si>
  <si>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</si>
  <si>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</si>
  <si>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</si>
  <si>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</si>
  <si>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</si>
  <si>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724-01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</si>
</sst>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86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color rgb="FFFF000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9"/>
      <name val="Gill Sans MT"/>
      <family val="2"/>
      <scheme val="minor"/>
    </font>
    <font>
      <sz val="8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</fills>
  <borders count="3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61884">
    <xf numFmtId="0" fontId="0" fillId="0" borderId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69" fillId="0" borderId="0"/>
    <xf numFmtId="49" fontId="74" fillId="0" borderId="21" applyNumberFormat="0" applyFont="0" applyFill="0" applyAlignment="0" applyProtection="0">
      <alignment horizontal="center" vertical="center"/>
      <protection locked="0"/>
    </xf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69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1" fontId="82" fillId="0" borderId="23" applyNumberFormat="0" applyFont="0" applyAlignment="0" applyProtection="0">
      <alignment horizontal="center" vertical="center"/>
      <protection locked="0"/>
    </xf>
    <xf numFmtId="0" fontId="69" fillId="0" borderId="0"/>
    <xf numFmtId="0" fontId="8" fillId="0" borderId="0"/>
    <xf numFmtId="164" fontId="66" fillId="0" borderId="0" applyBorder="0"/>
    <xf numFmtId="164" fontId="83" fillId="0" borderId="0" applyNumberFormat="0" applyFill="0" applyBorder="0" applyAlignment="0" applyProtection="0">
      <alignment vertical="top"/>
      <protection locked="0"/>
    </xf>
    <xf numFmtId="0" fontId="69" fillId="0" borderId="0"/>
    <xf numFmtId="165" fontId="66" fillId="0" borderId="0" applyFont="0" applyFill="0" applyBorder="0" applyAlignment="0" applyProtection="0"/>
    <xf numFmtId="166" fontId="66" fillId="0" borderId="0" applyFont="0" applyFill="0" applyBorder="0" applyAlignment="0" applyProtection="0"/>
    <xf numFmtId="0" fontId="74" fillId="8" borderId="24">
      <alignment horizontal="center" vertical="center"/>
    </xf>
    <xf numFmtId="0" fontId="8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7" borderId="22" applyNumberFormat="0" applyFont="0" applyAlignment="0" applyProtection="0"/>
    <xf numFmtId="0" fontId="69" fillId="7" borderId="22" applyNumberFormat="0" applyFont="0" applyAlignment="0" applyProtection="0"/>
    <xf numFmtId="0" fontId="69" fillId="7" borderId="22" applyNumberFormat="0" applyFont="0" applyAlignment="0" applyProtection="0"/>
    <xf numFmtId="0" fontId="69" fillId="7" borderId="22" applyNumberFormat="0" applyFont="0" applyAlignment="0" applyProtection="0"/>
    <xf numFmtId="0" fontId="69" fillId="7" borderId="22" applyNumberFormat="0" applyFont="0" applyAlignment="0" applyProtection="0"/>
    <xf numFmtId="0" fontId="69" fillId="7" borderId="22" applyNumberFormat="0" applyFont="0" applyAlignment="0" applyProtection="0"/>
    <xf numFmtId="0" fontId="69" fillId="7" borderId="22" applyNumberFormat="0" applyFont="0" applyAlignment="0" applyProtection="0"/>
    <xf numFmtId="0" fontId="69" fillId="7" borderId="22" applyNumberFormat="0" applyFont="0" applyAlignment="0" applyProtection="0"/>
    <xf numFmtId="0" fontId="69" fillId="7" borderId="22" applyNumberFormat="0" applyFont="0" applyAlignment="0" applyProtection="0"/>
    <xf numFmtId="0" fontId="69" fillId="7" borderId="22" applyNumberFormat="0" applyFont="0" applyAlignment="0" applyProtection="0"/>
    <xf numFmtId="0" fontId="69" fillId="7" borderId="22" applyNumberFormat="0" applyFont="0" applyAlignment="0" applyProtection="0"/>
    <xf numFmtId="0" fontId="69" fillId="7" borderId="22" applyNumberFormat="0" applyFont="0" applyAlignment="0" applyProtection="0"/>
    <xf numFmtId="0" fontId="69" fillId="7" borderId="22" applyNumberFormat="0" applyFont="0" applyAlignment="0" applyProtection="0"/>
    <xf numFmtId="167" fontId="66" fillId="0" borderId="0" applyFont="0" applyFill="0" applyBorder="0" applyAlignment="0" applyProtection="0"/>
    <xf numFmtId="168" fontId="66" fillId="0" borderId="0" applyFont="0" applyFill="0" applyBorder="0" applyAlignment="0" applyProtection="0"/>
    <xf numFmtId="164" fontId="66" fillId="0" borderId="0" applyBorder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</cellStyleXfs>
  <cellXfs count="152">
    <xf numFmtId="0" fontId="0" fillId="0" borderId="0" xfId="0"/>
    <xf numFmtId="0" fontId="57" fillId="0" borderId="0" xfId="0" applyFont="1"/>
    <xf numFmtId="0" fontId="58" fillId="0" borderId="0" xfId="0" applyFont="1"/>
    <xf numFmtId="0" fontId="59" fillId="0" borderId="0" xfId="0" applyFont="1" applyFill="1" applyAlignment="1">
      <alignment horizontal="right"/>
    </xf>
    <xf numFmtId="0" fontId="58" fillId="0" borderId="8" xfId="0" applyFont="1" applyBorder="1" applyAlignment="1">
      <alignment horizontal="left" indent="1"/>
    </xf>
    <xf numFmtId="0" fontId="57" fillId="2" borderId="6" xfId="0" applyFont="1" applyFill="1" applyBorder="1" applyAlignment="1">
      <alignment horizontal="center"/>
    </xf>
    <xf numFmtId="0" fontId="60" fillId="0" borderId="0" xfId="0" applyFont="1" applyFill="1" applyAlignment="1">
      <alignment horizontal="left"/>
    </xf>
    <xf numFmtId="0" fontId="61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4" fillId="0" borderId="8" xfId="0" applyFont="1" applyBorder="1" applyAlignment="1">
      <alignment horizontal="left" indent="1"/>
    </xf>
    <xf numFmtId="0" fontId="59" fillId="0" borderId="0" xfId="0" applyFont="1" applyAlignment="1">
      <alignment horizontal="right"/>
    </xf>
    <xf numFmtId="0" fontId="66" fillId="0" borderId="0" xfId="0" applyFont="1" applyBorder="1"/>
    <xf numFmtId="0" fontId="57" fillId="0" borderId="0" xfId="0" applyFont="1" applyAlignment="1">
      <alignment horizontal="left" indent="1"/>
    </xf>
    <xf numFmtId="0" fontId="60" fillId="4" borderId="2" xfId="0" applyFont="1" applyFill="1" applyBorder="1" applyAlignment="1">
      <alignment horizontal="centerContinuous"/>
    </xf>
    <xf numFmtId="14" fontId="75" fillId="0" borderId="0" xfId="0" applyNumberFormat="1" applyFont="1" applyFill="1" applyAlignment="1">
      <alignment horizontal="left" indent="1"/>
    </xf>
    <xf numFmtId="0" fontId="75" fillId="0" borderId="0" xfId="0" applyFont="1" applyFill="1" applyAlignment="1">
      <alignment horizontal="left" indent="1"/>
    </xf>
    <xf numFmtId="0" fontId="64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69" fillId="0" borderId="0" xfId="0" applyFont="1" applyBorder="1"/>
    <xf numFmtId="0" fontId="72" fillId="0" borderId="0" xfId="0" applyFont="1" applyBorder="1"/>
    <xf numFmtId="0" fontId="63" fillId="0" borderId="0" xfId="0" applyFont="1" applyAlignment="1"/>
    <xf numFmtId="0" fontId="0" fillId="0" borderId="0" xfId="0" applyAlignment="1"/>
    <xf numFmtId="0" fontId="57" fillId="0" borderId="0" xfId="0" applyFont="1" applyAlignment="1"/>
    <xf numFmtId="0" fontId="57" fillId="2" borderId="6" xfId="0" applyFont="1" applyFill="1" applyBorder="1" applyAlignment="1">
      <alignment horizontal="left"/>
    </xf>
    <xf numFmtId="0" fontId="58" fillId="0" borderId="0" xfId="0" applyFont="1" applyAlignment="1"/>
    <xf numFmtId="0" fontId="0" fillId="0" borderId="0" xfId="0" applyAlignment="1">
      <alignment horizontal="left"/>
    </xf>
    <xf numFmtId="0" fontId="64" fillId="0" borderId="0" xfId="0" applyFont="1" applyFill="1" applyBorder="1" applyAlignment="1">
      <alignment horizontal="center"/>
    </xf>
    <xf numFmtId="0" fontId="57" fillId="0" borderId="0" xfId="0" applyFont="1"/>
    <xf numFmtId="0" fontId="58" fillId="0" borderId="8" xfId="0" applyFont="1" applyBorder="1" applyAlignment="1">
      <alignment horizontal="left" indent="1"/>
    </xf>
    <xf numFmtId="0" fontId="57" fillId="2" borderId="10" xfId="0" applyFont="1" applyFill="1" applyBorder="1" applyAlignment="1">
      <alignment horizontal="left" indent="1"/>
    </xf>
    <xf numFmtId="0" fontId="66" fillId="0" borderId="0" xfId="0" applyFont="1"/>
    <xf numFmtId="0" fontId="57" fillId="2" borderId="5" xfId="0" applyFont="1" applyFill="1" applyBorder="1" applyAlignment="1">
      <alignment horizontal="left" indent="1"/>
    </xf>
    <xf numFmtId="0" fontId="57" fillId="2" borderId="4" xfId="0" applyFont="1" applyFill="1" applyBorder="1" applyAlignment="1">
      <alignment horizontal="left" indent="1"/>
    </xf>
    <xf numFmtId="0" fontId="0" fillId="0" borderId="0" xfId="0" applyFont="1"/>
    <xf numFmtId="0" fontId="64" fillId="0" borderId="0" xfId="0" applyFont="1" applyBorder="1" applyAlignment="1">
      <alignment horizontal="left" indent="1"/>
    </xf>
    <xf numFmtId="0" fontId="60" fillId="4" borderId="2" xfId="0" applyFont="1" applyFill="1" applyBorder="1" applyAlignment="1">
      <alignment horizontal="centerContinuous"/>
    </xf>
    <xf numFmtId="0" fontId="66" fillId="0" borderId="0" xfId="0" applyFont="1" applyFill="1"/>
    <xf numFmtId="0" fontId="64" fillId="0" borderId="7" xfId="0" applyFont="1" applyFill="1" applyBorder="1" applyAlignment="1">
      <alignment horizontal="left" wrapText="1" indent="1"/>
    </xf>
    <xf numFmtId="0" fontId="64" fillId="0" borderId="0" xfId="0" applyFont="1" applyFill="1" applyBorder="1" applyAlignment="1">
      <alignment horizontal="left" wrapText="1" indent="1"/>
    </xf>
    <xf numFmtId="14" fontId="64" fillId="0" borderId="0" xfId="0" applyNumberFormat="1" applyFont="1" applyFill="1" applyBorder="1" applyAlignment="1">
      <alignment horizontal="left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Border="1" applyAlignment="1">
      <alignment horizontal="left" wrapText="1" indent="1"/>
    </xf>
    <xf numFmtId="14" fontId="0" fillId="0" borderId="0" xfId="0" applyNumberFormat="1" applyBorder="1" applyAlignment="1">
      <alignment horizontal="left" indent="1"/>
    </xf>
    <xf numFmtId="0" fontId="65" fillId="0" borderId="0" xfId="0" applyFont="1" applyBorder="1" applyAlignment="1">
      <alignment horizontal="left" indent="1"/>
    </xf>
    <xf numFmtId="0" fontId="73" fillId="0" borderId="0" xfId="0" applyFont="1"/>
    <xf numFmtId="0" fontId="62" fillId="3" borderId="0" xfId="0" applyFont="1" applyFill="1" applyAlignment="1">
      <alignment horizontal="centerContinuous" vertical="center"/>
    </xf>
    <xf numFmtId="0" fontId="0" fillId="0" borderId="0" xfId="0"/>
    <xf numFmtId="0" fontId="58" fillId="0" borderId="0" xfId="0" applyFont="1"/>
    <xf numFmtId="0" fontId="64" fillId="0" borderId="8" xfId="0" applyFont="1" applyFill="1" applyBorder="1" applyAlignment="1">
      <alignment horizontal="center"/>
    </xf>
    <xf numFmtId="14" fontId="64" fillId="0" borderId="12" xfId="0" applyNumberFormat="1" applyFont="1" applyFill="1" applyBorder="1" applyAlignment="1">
      <alignment horizontal="left" indent="1"/>
    </xf>
    <xf numFmtId="0" fontId="66" fillId="0" borderId="13" xfId="0" applyFont="1" applyBorder="1" applyAlignment="1">
      <alignment wrapText="1"/>
    </xf>
    <xf numFmtId="0" fontId="64" fillId="0" borderId="0" xfId="0" applyFont="1" applyFill="1" applyBorder="1" applyAlignment="1">
      <alignment horizontal="left" wrapText="1"/>
    </xf>
    <xf numFmtId="0" fontId="64" fillId="0" borderId="7" xfId="3" applyFont="1" applyFill="1" applyBorder="1" applyAlignment="1">
      <alignment horizontal="left" wrapText="1" indent="1"/>
    </xf>
    <xf numFmtId="0" fontId="64" fillId="0" borderId="0" xfId="0" applyFont="1" applyBorder="1"/>
    <xf numFmtId="0" fontId="76" fillId="0" borderId="0" xfId="0" applyFont="1"/>
    <xf numFmtId="0" fontId="77" fillId="2" borderId="10" xfId="0" applyFont="1" applyFill="1" applyBorder="1" applyAlignment="1">
      <alignment horizontal="left" indent="1"/>
    </xf>
    <xf numFmtId="0" fontId="77" fillId="0" borderId="0" xfId="0" applyFont="1"/>
    <xf numFmtId="0" fontId="66" fillId="0" borderId="0" xfId="0" applyFont="1" applyAlignment="1">
      <alignment horizontal="left" indent="1"/>
    </xf>
    <xf numFmtId="0" fontId="66" fillId="0" borderId="0" xfId="0" applyFont="1" applyAlignment="1">
      <alignment wrapText="1"/>
    </xf>
    <xf numFmtId="0" fontId="78" fillId="4" borderId="5" xfId="0" applyFont="1" applyFill="1" applyBorder="1" applyAlignment="1">
      <alignment horizontal="centerContinuous"/>
    </xf>
    <xf numFmtId="0" fontId="77" fillId="2" borderId="4" xfId="0" applyFont="1" applyFill="1" applyBorder="1" applyAlignment="1">
      <alignment horizontal="left" indent="1"/>
    </xf>
    <xf numFmtId="0" fontId="64" fillId="0" borderId="0" xfId="0" applyFont="1" applyBorder="1" applyAlignment="1">
      <alignment wrapText="1"/>
    </xf>
    <xf numFmtId="0" fontId="64" fillId="0" borderId="15" xfId="0" applyFont="1" applyBorder="1"/>
    <xf numFmtId="0" fontId="64" fillId="0" borderId="2" xfId="0" applyFont="1" applyBorder="1"/>
    <xf numFmtId="0" fontId="77" fillId="2" borderId="17" xfId="0" applyFont="1" applyFill="1" applyBorder="1" applyAlignment="1">
      <alignment horizontal="left" indent="1"/>
    </xf>
    <xf numFmtId="0" fontId="77" fillId="2" borderId="5" xfId="0" applyFont="1" applyFill="1" applyBorder="1" applyAlignment="1">
      <alignment horizontal="left" indent="1"/>
    </xf>
    <xf numFmtId="0" fontId="77" fillId="2" borderId="6" xfId="0" applyFont="1" applyFill="1" applyBorder="1" applyAlignment="1">
      <alignment horizontal="left" indent="1"/>
    </xf>
    <xf numFmtId="0" fontId="77" fillId="2" borderId="5" xfId="0" applyFont="1" applyFill="1" applyBorder="1" applyAlignment="1">
      <alignment horizontal="left" wrapText="1"/>
    </xf>
    <xf numFmtId="0" fontId="79" fillId="4" borderId="3" xfId="0" applyFont="1" applyFill="1" applyBorder="1" applyAlignment="1">
      <alignment horizontal="centerContinuous"/>
    </xf>
    <xf numFmtId="0" fontId="79" fillId="4" borderId="4" xfId="0" applyFont="1" applyFill="1" applyBorder="1" applyAlignment="1">
      <alignment horizontal="centerContinuous"/>
    </xf>
    <xf numFmtId="0" fontId="79" fillId="4" borderId="4" xfId="0" applyFont="1" applyFill="1" applyBorder="1" applyAlignment="1">
      <alignment horizontal="centerContinuous" wrapText="1"/>
    </xf>
    <xf numFmtId="0" fontId="81" fillId="0" borderId="0" xfId="0" applyFont="1"/>
    <xf numFmtId="0" fontId="62" fillId="3" borderId="0" xfId="0" applyFont="1" applyFill="1" applyAlignment="1">
      <alignment horizontal="center" vertical="center"/>
    </xf>
    <xf numFmtId="0" fontId="64" fillId="0" borderId="9" xfId="0" applyFont="1" applyBorder="1" applyAlignment="1">
      <alignment horizontal="left" indent="1"/>
    </xf>
    <xf numFmtId="0" fontId="57" fillId="2" borderId="10" xfId="0" applyFont="1" applyFill="1" applyBorder="1" applyAlignment="1">
      <alignment horizontal="centerContinuous"/>
    </xf>
    <xf numFmtId="0" fontId="73" fillId="0" borderId="0" xfId="0" applyFont="1" applyBorder="1" applyAlignment="1">
      <alignment horizontal="left" indent="1"/>
    </xf>
    <xf numFmtId="0" fontId="77" fillId="2" borderId="17" xfId="0" applyFont="1" applyFill="1" applyBorder="1" applyAlignment="1">
      <alignment horizontal="left" wrapText="1"/>
    </xf>
    <xf numFmtId="0" fontId="77" fillId="2" borderId="5" xfId="0" applyFont="1" applyFill="1" applyBorder="1" applyAlignment="1">
      <alignment horizontal="center"/>
    </xf>
    <xf numFmtId="0" fontId="75" fillId="0" borderId="0" xfId="0" applyFont="1" applyAlignment="1">
      <alignment horizontal="left" indent="1"/>
    </xf>
    <xf numFmtId="0" fontId="0" fillId="0" borderId="25" xfId="0" applyBorder="1" applyAlignment="1">
      <alignment horizontal="left" vertical="center" wrapText="1" indent="1"/>
    </xf>
    <xf numFmtId="0" fontId="70" fillId="2" borderId="18" xfId="61881" applyFont="1" applyFill="1" applyBorder="1" applyAlignment="1">
      <alignment horizontal="center" wrapText="1"/>
    </xf>
    <xf numFmtId="0" fontId="70" fillId="2" borderId="19" xfId="61882" applyFont="1" applyFill="1" applyBorder="1" applyAlignment="1">
      <alignment horizontal="center" wrapText="1"/>
    </xf>
    <xf numFmtId="0" fontId="66" fillId="0" borderId="0" xfId="0" applyFont="1" applyFill="1" applyBorder="1"/>
    <xf numFmtId="0" fontId="0" fillId="0" borderId="0" xfId="0" applyFill="1"/>
    <xf numFmtId="0" fontId="66" fillId="0" borderId="0" xfId="0" applyFont="1" applyFill="1" applyAlignment="1">
      <alignment horizontal="left" indent="1"/>
    </xf>
    <xf numFmtId="0" fontId="66" fillId="0" borderId="0" xfId="0" applyFont="1" applyFill="1" applyAlignment="1">
      <alignment wrapText="1"/>
    </xf>
    <xf numFmtId="0" fontId="70" fillId="6" borderId="34" xfId="61881" applyFont="1" applyFill="1" applyBorder="1" applyAlignment="1">
      <alignment horizontal="left" wrapText="1"/>
    </xf>
    <xf numFmtId="0" fontId="66" fillId="6" borderId="35" xfId="0" applyFont="1" applyFill="1" applyBorder="1" applyAlignment="1">
      <alignment wrapText="1"/>
    </xf>
    <xf numFmtId="0" fontId="66" fillId="6" borderId="36" xfId="0" applyFont="1" applyFill="1" applyBorder="1" applyAlignment="1">
      <alignment wrapText="1"/>
    </xf>
    <xf numFmtId="0" fontId="70" fillId="6" borderId="8" xfId="61881" applyFont="1" applyFill="1" applyBorder="1" applyAlignment="1">
      <alignment horizontal="left" wrapText="1"/>
    </xf>
    <xf numFmtId="0" fontId="66" fillId="6" borderId="12" xfId="0" applyFont="1" applyFill="1" applyBorder="1" applyAlignment="1">
      <alignment wrapText="1"/>
    </xf>
    <xf numFmtId="0" fontId="66" fillId="6" borderId="13" xfId="0" applyFont="1" applyFill="1" applyBorder="1" applyAlignment="1">
      <alignment wrapText="1"/>
    </xf>
    <xf numFmtId="0" fontId="70" fillId="6" borderId="9" xfId="61882" applyFont="1" applyFill="1" applyBorder="1" applyAlignment="1">
      <alignment horizontal="left" wrapText="1"/>
    </xf>
    <xf numFmtId="0" fontId="66" fillId="6" borderId="11" xfId="0" applyFont="1" applyFill="1" applyBorder="1" applyAlignment="1">
      <alignment wrapText="1"/>
    </xf>
    <xf numFmtId="0" fontId="66" fillId="6" borderId="14" xfId="0" applyFont="1" applyFill="1" applyBorder="1" applyAlignment="1">
      <alignment wrapText="1"/>
    </xf>
    <xf numFmtId="0" fontId="70" fillId="5" borderId="12" xfId="61880" applyFont="1" applyBorder="1" applyAlignment="1">
      <alignment horizontal="left" wrapText="1" indent="1"/>
    </xf>
    <xf numFmtId="0" fontId="64" fillId="0" borderId="12" xfId="0" applyFont="1" applyBorder="1" applyAlignment="1">
      <alignment horizontal="left" wrapText="1" indent="1"/>
    </xf>
    <xf numFmtId="0" fontId="70" fillId="5" borderId="14" xfId="61880" applyFont="1" applyBorder="1" applyAlignment="1">
      <alignment horizontal="left" wrapText="1" indent="1"/>
    </xf>
    <xf numFmtId="0" fontId="64" fillId="0" borderId="11" xfId="0" applyFont="1" applyBorder="1" applyAlignment="1">
      <alignment horizontal="left" wrapText="1" indent="1"/>
    </xf>
    <xf numFmtId="0" fontId="70" fillId="5" borderId="34" xfId="61880" applyFont="1" applyBorder="1" applyAlignment="1">
      <alignment horizontal="left" wrapText="1" indent="1"/>
    </xf>
    <xf numFmtId="0" fontId="64" fillId="0" borderId="35" xfId="0" applyFont="1" applyBorder="1" applyAlignment="1">
      <alignment horizontal="left" wrapText="1" indent="1"/>
    </xf>
    <xf numFmtId="0" fontId="70" fillId="5" borderId="35" xfId="61880" applyFont="1" applyBorder="1" applyAlignment="1">
      <alignment horizontal="left" wrapText="1" indent="1"/>
    </xf>
    <xf numFmtId="0" fontId="70" fillId="5" borderId="36" xfId="61880" applyFont="1" applyBorder="1" applyAlignment="1">
      <alignment horizontal="left" wrapText="1" indent="1"/>
    </xf>
    <xf numFmtId="0" fontId="70" fillId="5" borderId="8" xfId="61880" applyFont="1" applyBorder="1" applyAlignment="1">
      <alignment horizontal="left" wrapText="1" indent="1"/>
    </xf>
    <xf numFmtId="0" fontId="70" fillId="5" borderId="13" xfId="61880" applyFont="1" applyBorder="1" applyAlignment="1">
      <alignment horizontal="left" wrapText="1" indent="1"/>
    </xf>
    <xf numFmtId="0" fontId="84" fillId="5" borderId="13" xfId="61880" applyFont="1" applyBorder="1" applyAlignment="1">
      <alignment horizontal="left" wrapText="1" indent="1"/>
    </xf>
    <xf numFmtId="0" fontId="64" fillId="0" borderId="12" xfId="0" applyFont="1" applyFill="1" applyBorder="1" applyAlignment="1">
      <alignment horizontal="left" wrapText="1" indent="1"/>
    </xf>
    <xf numFmtId="0" fontId="70" fillId="5" borderId="9" xfId="61880" applyFont="1" applyBorder="1" applyAlignment="1">
      <alignment horizontal="left" wrapText="1" indent="1"/>
    </xf>
    <xf numFmtId="0" fontId="70" fillId="5" borderId="11" xfId="61880" applyFont="1" applyBorder="1" applyAlignment="1">
      <alignment horizontal="left" wrapText="1" indent="1"/>
    </xf>
    <xf numFmtId="0" fontId="62" fillId="3" borderId="0" xfId="0" applyFont="1" applyFill="1" applyAlignment="1">
      <alignment horizontal="center" vertical="center"/>
    </xf>
    <xf numFmtId="0" fontId="80" fillId="3" borderId="0" xfId="0" applyFont="1" applyFill="1" applyAlignment="1">
      <alignment horizontal="center" vertical="center" wrapText="1"/>
    </xf>
    <xf numFmtId="0" fontId="79" fillId="4" borderId="3" xfId="0" applyFont="1" applyFill="1" applyBorder="1" applyAlignment="1">
      <alignment horizontal="center"/>
    </xf>
    <xf numFmtId="0" fontId="79" fillId="4" borderId="4" xfId="0" applyFont="1" applyFill="1" applyBorder="1" applyAlignment="1">
      <alignment horizontal="center"/>
    </xf>
    <xf numFmtId="0" fontId="79" fillId="4" borderId="5" xfId="0" applyFont="1" applyFill="1" applyBorder="1" applyAlignment="1">
      <alignment horizontal="center"/>
    </xf>
    <xf numFmtId="0" fontId="79" fillId="4" borderId="20" xfId="0" applyFont="1" applyFill="1" applyBorder="1" applyAlignment="1">
      <alignment horizontal="center"/>
    </xf>
    <xf numFmtId="0" fontId="79" fillId="4" borderId="16" xfId="0" applyFont="1" applyFill="1" applyBorder="1" applyAlignment="1">
      <alignment horizontal="center"/>
    </xf>
    <xf numFmtId="0" fontId="79" fillId="4" borderId="1" xfId="0" applyFont="1" applyFill="1" applyBorder="1" applyAlignment="1">
      <alignment horizontal="center"/>
    </xf>
    <xf numFmtId="0" fontId="66" fillId="0" borderId="25" xfId="61795" applyNumberFormat="1" applyFont="1" applyBorder="1" applyAlignment="1">
      <alignment horizontal="left" wrapText="1" indent="1"/>
    </xf>
    <xf numFmtId="0" fontId="57" fillId="2" borderId="34" xfId="0" applyFont="1" applyFill="1" applyBorder="1" applyAlignment="1">
      <alignment horizontal="left" indent="1"/>
    </xf>
    <xf numFmtId="0" fontId="57" fillId="2" borderId="35" xfId="0" applyFont="1" applyFill="1" applyBorder="1" applyAlignment="1">
      <alignment horizontal="left" indent="1"/>
    </xf>
    <xf numFmtId="0" fontId="57" fillId="2" borderId="36" xfId="0" applyFont="1" applyFill="1" applyBorder="1" applyAlignment="1">
      <alignment horizontal="left" wrapText="1"/>
    </xf>
    <xf numFmtId="0" fontId="0" fillId="2" borderId="28" xfId="0" applyFill="1" applyBorder="1" applyAlignment="1">
      <alignment horizontal="left" wrapText="1" indent="1"/>
    </xf>
    <xf numFmtId="0" fontId="0" fillId="2" borderId="30" xfId="0" applyFill="1" applyBorder="1" applyAlignment="1">
      <alignment horizontal="left" wrapText="1" indent="1"/>
    </xf>
    <xf numFmtId="0" fontId="72" fillId="2" borderId="30" xfId="0" applyFont="1" applyFill="1" applyBorder="1" applyAlignment="1">
      <alignment horizontal="left" wrapText="1" indent="1"/>
    </xf>
    <xf numFmtId="0" fontId="66" fillId="0" borderId="25" xfId="0" applyFont="1" applyBorder="1" applyAlignment="1">
      <alignment horizontal="left" wrapText="1" indent="1"/>
    </xf>
    <xf numFmtId="0" fontId="70" fillId="5" borderId="30" xfId="61883" applyFont="1" applyBorder="1" applyAlignment="1">
      <alignment horizontal="left" wrapText="1" indent="1"/>
    </xf>
    <xf numFmtId="0" fontId="70" fillId="5" borderId="33" xfId="61883" applyFont="1" applyBorder="1" applyAlignment="1">
      <alignment horizontal="left" wrapText="1" indent="1"/>
    </xf>
    <xf numFmtId="0" fontId="2" fillId="2" borderId="26" xfId="61880" applyFill="1" applyBorder="1" applyAlignment="1">
      <alignment horizontal="left" wrapText="1" indent="1"/>
    </xf>
    <xf numFmtId="0" fontId="0" fillId="2" borderId="27" xfId="0" applyFill="1" applyBorder="1" applyAlignment="1">
      <alignment horizontal="left" wrapText="1" indent="1"/>
    </xf>
    <xf numFmtId="0" fontId="0" fillId="0" borderId="27" xfId="0" applyBorder="1" applyAlignment="1">
      <alignment horizontal="left" wrapText="1" indent="1"/>
    </xf>
    <xf numFmtId="0" fontId="2" fillId="2" borderId="29" xfId="61880" applyFill="1" applyBorder="1" applyAlignment="1">
      <alignment horizontal="left" wrapText="1" indent="1"/>
    </xf>
    <xf numFmtId="0" fontId="0" fillId="2" borderId="25" xfId="0" applyFill="1" applyBorder="1" applyAlignment="1">
      <alignment horizontal="left" wrapText="1" indent="1"/>
    </xf>
    <xf numFmtId="0" fontId="0" fillId="0" borderId="25" xfId="0" applyBorder="1" applyAlignment="1">
      <alignment horizontal="left" wrapText="1" indent="1"/>
    </xf>
    <xf numFmtId="0" fontId="71" fillId="2" borderId="29" xfId="61880" applyFont="1" applyFill="1" applyBorder="1" applyAlignment="1">
      <alignment horizontal="left" wrapText="1" indent="1"/>
    </xf>
    <xf numFmtId="0" fontId="72" fillId="2" borderId="25" xfId="0" applyFont="1" applyFill="1" applyBorder="1" applyAlignment="1">
      <alignment horizontal="left" wrapText="1" indent="1"/>
    </xf>
    <xf numFmtId="0" fontId="72" fillId="0" borderId="25" xfId="0" applyFont="1" applyBorder="1" applyAlignment="1">
      <alignment horizontal="left" wrapText="1" indent="1"/>
    </xf>
    <xf numFmtId="0" fontId="2" fillId="2" borderId="29" xfId="61880" applyFont="1" applyFill="1" applyBorder="1" applyAlignment="1">
      <alignment horizontal="left" wrapText="1" indent="1"/>
    </xf>
    <xf numFmtId="0" fontId="70" fillId="5" borderId="29" xfId="61849" applyFont="1" applyBorder="1" applyAlignment="1">
      <alignment horizontal="left" wrapText="1" indent="1"/>
    </xf>
    <xf numFmtId="0" fontId="70" fillId="5" borderId="25" xfId="61849" applyFont="1" applyBorder="1" applyAlignment="1">
      <alignment horizontal="left" wrapText="1" indent="1"/>
    </xf>
    <xf numFmtId="0" fontId="70" fillId="5" borderId="30" xfId="61849" applyFont="1" applyBorder="1" applyAlignment="1">
      <alignment horizontal="left" wrapText="1" indent="1"/>
    </xf>
    <xf numFmtId="1" fontId="66" fillId="0" borderId="25" xfId="0" applyNumberFormat="1" applyFont="1" applyBorder="1" applyAlignment="1">
      <alignment horizontal="left" wrapText="1" indent="1"/>
    </xf>
    <xf numFmtId="0" fontId="70" fillId="5" borderId="29" xfId="61883" applyFont="1" applyBorder="1" applyAlignment="1">
      <alignment horizontal="left" wrapText="1" indent="1"/>
    </xf>
    <xf numFmtId="0" fontId="70" fillId="5" borderId="25" xfId="61883" applyFont="1" applyBorder="1" applyAlignment="1">
      <alignment horizontal="left" wrapText="1" indent="1"/>
    </xf>
    <xf numFmtId="0" fontId="66" fillId="0" borderId="25" xfId="61795" applyFont="1" applyBorder="1" applyAlignment="1">
      <alignment horizontal="left" wrapText="1" indent="1"/>
    </xf>
    <xf numFmtId="0" fontId="70" fillId="5" borderId="31" xfId="61883" applyFont="1" applyBorder="1" applyAlignment="1">
      <alignment horizontal="left" wrapText="1" indent="1"/>
    </xf>
    <xf numFmtId="0" fontId="70" fillId="5" borderId="32" xfId="61883" applyFont="1" applyBorder="1" applyAlignment="1">
      <alignment horizontal="left" wrapText="1" indent="1"/>
    </xf>
    <xf numFmtId="0" fontId="66" fillId="0" borderId="32" xfId="61795" applyFont="1" applyBorder="1" applyAlignment="1">
      <alignment horizontal="left" wrapText="1" indent="1"/>
    </xf>
    <xf numFmtId="0" fontId="66" fillId="0" borderId="32" xfId="61795" applyNumberFormat="1" applyFont="1" applyBorder="1" applyAlignment="1">
      <alignment horizontal="left" wrapText="1" indent="1"/>
    </xf>
  </cellXfs>
  <cellStyles count="61884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22" xfId="61880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3 4" xfId="61883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22" xfId="618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2 2" xfId="61881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257175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247650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47625</xdr:rowOff>
        </xdr:from>
        <xdr:to>
          <xdr:col>1</xdr:col>
          <xdr:colOff>295275</xdr:colOff>
          <xdr:row>20</xdr:row>
          <xdr:rowOff>47625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155" name="Verizon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183" name="Commercial" hidden="1">
              <a:extLst>
                <a:ext uri="{63B3BB69-23CF-44E3-9099-C40C66FF867C}">
                  <a14:compatExt spid="_x0000_s4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="90" zoomScaleNormal="90" workbookViewId="0">
      <selection activeCell="B10" sqref="B10:B15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4" width="15.28515625" style="50" customWidth="1"/>
    <col min="5" max="5" width="12.85546875" bestFit="1" customWidth="1"/>
    <col min="6" max="7" width="12.7109375" bestFit="1" customWidth="1"/>
    <col min="8" max="8" width="12.7109375" style="50" customWidth="1"/>
    <col min="9" max="9" width="12.7109375" bestFit="1" customWidth="1"/>
  </cols>
  <sheetData>
    <row r="1" spans="1:18" s="1" customFormat="1" ht="12.75" customHeight="1" x14ac:dyDescent="0.3">
      <c r="C1" s="30"/>
      <c r="D1" s="30"/>
      <c r="H1" s="30"/>
    </row>
    <row r="2" spans="1:18" s="7" customFormat="1" ht="45" customHeight="1" x14ac:dyDescent="0.2">
      <c r="A2" s="113" t="s">
        <v>91</v>
      </c>
      <c r="B2" s="113"/>
      <c r="C2" s="113"/>
      <c r="D2" s="113"/>
      <c r="E2" s="113"/>
      <c r="F2" s="113"/>
      <c r="G2" s="113"/>
      <c r="H2" s="76"/>
    </row>
    <row r="3" spans="1:18" s="1" customFormat="1" ht="15" x14ac:dyDescent="0.3">
      <c r="C3" s="30"/>
      <c r="D3" s="30"/>
      <c r="H3" s="30"/>
    </row>
    <row r="4" spans="1:18" s="1" customFormat="1" ht="15" x14ac:dyDescent="0.3">
      <c r="A4" s="3" t="s">
        <v>0</v>
      </c>
      <c r="B4" s="16">
        <f>MAX('Revision History'!C:C)</f>
        <v>42496</v>
      </c>
      <c r="C4" s="16"/>
      <c r="D4" s="16"/>
      <c r="H4" s="30"/>
    </row>
    <row r="5" spans="1:18" s="1" customFormat="1" ht="15" x14ac:dyDescent="0.3">
      <c r="A5" s="3" t="s">
        <v>1</v>
      </c>
      <c r="B5" s="17">
        <f>LOOKUP(2,1/('Revision History'!B:B&lt;&gt;""),'Revision History'!B:B)</f>
        <v>4</v>
      </c>
      <c r="C5" s="17"/>
      <c r="D5" s="17"/>
      <c r="H5" s="30"/>
    </row>
    <row r="6" spans="1:18" s="1" customFormat="1" ht="15" x14ac:dyDescent="0.3">
      <c r="A6" s="12" t="s">
        <v>90</v>
      </c>
      <c r="B6" s="82" t="s">
        <v>100</v>
      </c>
      <c r="C6" s="14"/>
      <c r="D6" s="14"/>
      <c r="H6" s="30"/>
    </row>
    <row r="7" spans="1:18" s="1" customFormat="1" ht="15" x14ac:dyDescent="0.3">
      <c r="A7" s="12" t="s">
        <v>88</v>
      </c>
      <c r="B7" s="14" t="s">
        <v>97</v>
      </c>
      <c r="C7" s="14"/>
      <c r="D7" s="14"/>
      <c r="H7" s="30"/>
    </row>
    <row r="8" spans="1:18" s="1" customFormat="1" ht="15" x14ac:dyDescent="0.3">
      <c r="A8" s="12" t="s">
        <v>89</v>
      </c>
      <c r="B8" s="14" t="s">
        <v>216</v>
      </c>
      <c r="C8" s="14"/>
      <c r="D8" s="14"/>
      <c r="H8" s="30"/>
    </row>
    <row r="9" spans="1:18" s="6" customFormat="1" ht="19.5" x14ac:dyDescent="0.4">
      <c r="A9" s="12" t="s">
        <v>98</v>
      </c>
      <c r="B9" s="14" t="s">
        <v>106</v>
      </c>
    </row>
    <row r="10" spans="1:18" s="1" customFormat="1" ht="20.25" thickBot="1" x14ac:dyDescent="0.45">
      <c r="A10" s="15" t="s">
        <v>43</v>
      </c>
      <c r="B10" s="38"/>
    </row>
    <row r="11" spans="1:18" s="1" customFormat="1" ht="15.75" thickBot="1" x14ac:dyDescent="0.35">
      <c r="A11" s="5"/>
      <c r="B11" s="5" t="s">
        <v>99</v>
      </c>
      <c r="J11" s="30"/>
      <c r="K11" s="30"/>
      <c r="L11" s="30"/>
    </row>
    <row r="12" spans="1:18" s="2" customFormat="1" ht="15" x14ac:dyDescent="0.3">
      <c r="A12" s="4" t="s">
        <v>2</v>
      </c>
      <c r="B12" s="31">
        <v>33</v>
      </c>
      <c r="J12" s="30"/>
      <c r="K12" s="30"/>
      <c r="L12" s="30"/>
    </row>
    <row r="13" spans="1:18" s="18" customFormat="1" ht="15" x14ac:dyDescent="0.3">
      <c r="A13" s="11" t="s">
        <v>29</v>
      </c>
      <c r="B13" s="11" t="str">
        <f>Commercial!F125</f>
        <v>0x05012105</v>
      </c>
      <c r="J13" s="60"/>
      <c r="K13" s="60"/>
      <c r="L13" s="60"/>
    </row>
    <row r="14" spans="1:18" s="51" customFormat="1" ht="15" x14ac:dyDescent="0.3">
      <c r="A14" s="31" t="s">
        <v>37</v>
      </c>
      <c r="B14" s="31">
        <v>1</v>
      </c>
      <c r="E14" s="30"/>
      <c r="F14" s="30"/>
      <c r="G14" s="30"/>
      <c r="H14" s="30"/>
      <c r="I14" s="30"/>
      <c r="J14" s="30"/>
      <c r="K14" s="30"/>
      <c r="L14" s="30"/>
    </row>
    <row r="15" spans="1:18" s="18" customFormat="1" ht="20.25" thickBot="1" x14ac:dyDescent="0.45">
      <c r="A15" s="77" t="s">
        <v>96</v>
      </c>
      <c r="B15" s="77"/>
      <c r="E15" s="30"/>
      <c r="F15" s="30"/>
      <c r="G15" s="30"/>
      <c r="H15" s="30"/>
      <c r="I15" s="30"/>
      <c r="J15" s="30"/>
      <c r="K15" s="30"/>
      <c r="L15" s="6"/>
    </row>
    <row r="16" spans="1:18" s="48" customFormat="1" ht="15" x14ac:dyDescent="0.3">
      <c r="A16" s="79"/>
      <c r="B16" s="79"/>
      <c r="C16" s="79"/>
      <c r="D16" s="79"/>
      <c r="E16" s="79"/>
      <c r="F16" s="79"/>
      <c r="G16" s="79"/>
      <c r="H16" s="79"/>
      <c r="I16" s="79"/>
      <c r="K16" s="30"/>
      <c r="L16" s="30"/>
      <c r="M16" s="30"/>
      <c r="N16" s="30"/>
      <c r="O16" s="30"/>
      <c r="P16" s="30"/>
      <c r="Q16" s="30"/>
      <c r="R16" s="30"/>
    </row>
    <row r="17" spans="1:19" s="48" customFormat="1" ht="16.5" customHeight="1" x14ac:dyDescent="0.3">
      <c r="A17" s="79"/>
      <c r="F17" s="79"/>
      <c r="G17" s="79"/>
      <c r="H17" s="79"/>
      <c r="I17" s="79"/>
      <c r="K17" s="30"/>
      <c r="L17" s="30"/>
      <c r="M17" s="30"/>
      <c r="N17" s="30"/>
      <c r="O17" s="30"/>
      <c r="P17" s="30"/>
      <c r="Q17" s="30"/>
      <c r="R17" s="30"/>
    </row>
    <row r="18" spans="1:19" s="48" customFormat="1" ht="16.5" customHeight="1" x14ac:dyDescent="0.3">
      <c r="A18" s="79"/>
      <c r="B18" s="79"/>
      <c r="C18" s="79"/>
      <c r="D18" s="79"/>
      <c r="E18" s="79"/>
      <c r="F18" s="79"/>
      <c r="G18" s="79"/>
      <c r="H18" s="79"/>
      <c r="I18" s="79"/>
      <c r="J18" s="30"/>
      <c r="K18" s="30"/>
      <c r="L18" s="30"/>
      <c r="M18" s="51"/>
      <c r="N18" s="51"/>
      <c r="O18" s="30"/>
      <c r="P18" s="30"/>
      <c r="Q18" s="30"/>
      <c r="R18" s="51"/>
    </row>
    <row r="19" spans="1:19" s="2" customFormat="1" ht="19.5" x14ac:dyDescent="0.4">
      <c r="A19"/>
      <c r="B19" s="10"/>
      <c r="C19" s="50"/>
      <c r="D19" s="50"/>
      <c r="E19"/>
      <c r="F19"/>
      <c r="H19" s="51"/>
      <c r="J19" s="30"/>
      <c r="K19" s="30"/>
      <c r="L19" s="6"/>
      <c r="M19" s="18"/>
      <c r="N19" s="18"/>
      <c r="O19" s="6"/>
      <c r="P19" s="6"/>
      <c r="Q19" s="6"/>
      <c r="R19" s="51"/>
      <c r="S19" s="51"/>
    </row>
    <row r="20" spans="1:19" s="2" customFormat="1" ht="15" x14ac:dyDescent="0.3">
      <c r="A20" s="9" t="s">
        <v>68</v>
      </c>
      <c r="B20" s="9"/>
      <c r="C20" s="9"/>
      <c r="D20" s="9"/>
      <c r="H20" s="51"/>
      <c r="J20" s="51"/>
      <c r="K20" s="51"/>
      <c r="L20" s="30"/>
      <c r="M20" s="51"/>
      <c r="N20" s="51"/>
      <c r="O20" s="48"/>
      <c r="P20" s="30"/>
      <c r="Q20" s="30"/>
      <c r="R20" s="30"/>
      <c r="S20" s="48"/>
    </row>
    <row r="21" spans="1:19" s="2" customFormat="1" ht="15" x14ac:dyDescent="0.3">
      <c r="A21" s="8"/>
      <c r="B21" s="8"/>
      <c r="C21" s="36"/>
      <c r="D21" s="36"/>
      <c r="H21" s="51"/>
      <c r="J21" s="51"/>
      <c r="K21" s="51"/>
      <c r="L21" s="51"/>
      <c r="M21" s="51"/>
      <c r="N21" s="51"/>
      <c r="O21" s="51"/>
      <c r="P21" s="51"/>
      <c r="Q21" s="51"/>
      <c r="R21" s="51"/>
    </row>
    <row r="22" spans="1:19" s="2" customFormat="1" ht="15" x14ac:dyDescent="0.3">
      <c r="A22"/>
      <c r="B22" s="10"/>
      <c r="C22" s="50"/>
      <c r="D22" s="50"/>
      <c r="E22"/>
      <c r="F22"/>
      <c r="G22"/>
      <c r="H22" s="50"/>
      <c r="I22"/>
      <c r="J22" s="51"/>
      <c r="K22" s="51"/>
      <c r="L22" s="51"/>
      <c r="M22" s="18"/>
      <c r="N22" s="51"/>
      <c r="O22" s="51"/>
      <c r="P22" s="51"/>
      <c r="Q22" s="51"/>
      <c r="R22" s="51"/>
    </row>
    <row r="23" spans="1:19" s="2" customFormat="1" ht="19.5" x14ac:dyDescent="0.4">
      <c r="A23"/>
      <c r="B23" s="10"/>
      <c r="C23" s="50"/>
      <c r="D23" s="50"/>
      <c r="E23"/>
      <c r="F23"/>
      <c r="G23"/>
      <c r="H23" s="50"/>
      <c r="I23"/>
      <c r="J23" s="18"/>
      <c r="K23" s="18"/>
      <c r="L23" s="30"/>
      <c r="M23" s="48"/>
      <c r="N23" s="51"/>
      <c r="P23" s="6"/>
      <c r="Q23" s="6"/>
      <c r="R23" s="51"/>
    </row>
    <row r="24" spans="1:19" s="2" customFormat="1" ht="15" x14ac:dyDescent="0.3">
      <c r="A24"/>
      <c r="B24" s="10"/>
      <c r="C24" s="50"/>
      <c r="D24" s="50"/>
      <c r="E24"/>
      <c r="F24"/>
      <c r="G24"/>
      <c r="H24" s="50"/>
      <c r="I24"/>
      <c r="J24" s="30"/>
      <c r="K24" s="30"/>
      <c r="L24" s="30"/>
      <c r="M24" s="48"/>
      <c r="N24" s="51"/>
      <c r="P24" s="30"/>
      <c r="Q24" s="30"/>
      <c r="R24" s="18"/>
    </row>
    <row r="25" spans="1:19" ht="15" x14ac:dyDescent="0.3">
      <c r="J25" s="51"/>
      <c r="K25" s="51"/>
      <c r="L25" s="51"/>
      <c r="M25" s="51"/>
      <c r="N25" s="51"/>
      <c r="P25" s="30"/>
      <c r="Q25" s="30"/>
      <c r="R25" s="48"/>
    </row>
    <row r="26" spans="1:19" ht="15" x14ac:dyDescent="0.3">
      <c r="J26" s="51"/>
      <c r="K26" s="51"/>
      <c r="L26" s="51"/>
      <c r="M26" s="51"/>
      <c r="N26" s="51"/>
    </row>
    <row r="27" spans="1:19" ht="19.5" x14ac:dyDescent="0.4">
      <c r="J27" s="6"/>
      <c r="K27" s="6"/>
      <c r="L27" s="51"/>
      <c r="M27" s="51"/>
      <c r="N27" s="51"/>
    </row>
    <row r="28" spans="1:19" ht="15" x14ac:dyDescent="0.3">
      <c r="J28" s="30"/>
      <c r="K28" s="30"/>
      <c r="L28" s="18"/>
      <c r="M28" s="51"/>
      <c r="N28" s="51"/>
    </row>
    <row r="29" spans="1:19" ht="15" x14ac:dyDescent="0.3">
      <c r="J29" s="30"/>
      <c r="K29" s="30"/>
      <c r="L29" s="48"/>
      <c r="M29" s="50"/>
      <c r="N29" s="50"/>
    </row>
    <row r="30" spans="1:19" x14ac:dyDescent="0.2">
      <c r="J30" s="50"/>
      <c r="K30" s="50"/>
      <c r="L30" s="50"/>
      <c r="M30" s="50"/>
      <c r="N30" s="50"/>
    </row>
    <row r="44" spans="5:6" x14ac:dyDescent="0.2">
      <c r="E44" s="50"/>
      <c r="F44" s="50"/>
    </row>
    <row r="45" spans="5:6" x14ac:dyDescent="0.2">
      <c r="E45" s="50"/>
      <c r="F45" s="50"/>
    </row>
    <row r="46" spans="5:6" x14ac:dyDescent="0.2">
      <c r="E46" s="50"/>
      <c r="F46" s="50"/>
    </row>
  </sheetData>
  <dataConsolidate/>
  <mergeCells count="1">
    <mergeCell ref="A2:G2"/>
  </mergeCells>
  <hyperlinks>
    <hyperlink ref="B11" location="'Commercial'!A5" tooltip="Jump to worksheet" display="'Commercial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114300</xdr:colOff>
                    <xdr:row>19</xdr:row>
                    <xdr:rowOff>47625</xdr:rowOff>
                  </from>
                  <to>
                    <xdr:col>1</xdr:col>
                    <xdr:colOff>295275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257175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247650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Verizo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10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11" name="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autoPageBreaks="0"/>
  </sheetPr>
  <dimension ref="A1:O144"/>
  <sheetViews>
    <sheetView topLeftCell="A112" zoomScale="70" zoomScaleNormal="70" workbookViewId="0">
      <selection activeCell="E128" sqref="E128"/>
    </sheetView>
  </sheetViews>
  <sheetFormatPr defaultColWidth="9.140625" defaultRowHeight="12.75" x14ac:dyDescent="0.2"/>
  <cols>
    <col min="1" max="1" width="39" style="50" customWidth="1"/>
    <col min="2" max="2" width="48.140625" style="50" customWidth="1"/>
    <col min="3" max="3" width="13.7109375" style="50" customWidth="1"/>
    <col min="4" max="4" width="13.85546875" style="50" bestFit="1" customWidth="1"/>
    <col min="5" max="5" width="19.7109375" style="50" customWidth="1"/>
    <col min="6" max="6" width="21.28515625" style="19" customWidth="1"/>
    <col min="7" max="7" width="10.42578125" style="50" bestFit="1" customWidth="1"/>
    <col min="8" max="8" width="68.5703125" style="20" customWidth="1"/>
    <col min="9" max="9" width="44.28515625" style="50" customWidth="1"/>
    <col min="10" max="10" width="19.28515625" style="50" customWidth="1"/>
    <col min="11" max="16384" width="9.140625" style="50"/>
  </cols>
  <sheetData>
    <row r="1" spans="1:9" s="33" customFormat="1" x14ac:dyDescent="0.2">
      <c r="F1" s="61"/>
      <c r="H1" s="62"/>
    </row>
    <row r="2" spans="1:9" s="75" customFormat="1" ht="27.75" x14ac:dyDescent="0.55000000000000004">
      <c r="A2" s="114" t="s">
        <v>105</v>
      </c>
      <c r="B2" s="114"/>
      <c r="C2" s="114"/>
      <c r="D2" s="114"/>
      <c r="E2" s="114"/>
      <c r="F2" s="114"/>
      <c r="G2" s="114"/>
      <c r="H2" s="114"/>
      <c r="I2" s="114"/>
    </row>
    <row r="3" spans="1:9" s="33" customFormat="1" ht="13.5" thickBot="1" x14ac:dyDescent="0.25">
      <c r="A3" s="13"/>
      <c r="F3" s="61"/>
      <c r="H3" s="62"/>
    </row>
    <row r="4" spans="1:9" s="58" customFormat="1" ht="20.25" thickBot="1" x14ac:dyDescent="0.45">
      <c r="A4" s="115" t="s">
        <v>92</v>
      </c>
      <c r="B4" s="116"/>
      <c r="C4" s="116"/>
      <c r="D4" s="116"/>
      <c r="E4" s="116"/>
      <c r="F4" s="116"/>
      <c r="G4" s="116"/>
      <c r="H4" s="117"/>
    </row>
    <row r="5" spans="1:9" s="60" customFormat="1" ht="15.75" thickBot="1" x14ac:dyDescent="0.35">
      <c r="A5" s="59" t="s">
        <v>8</v>
      </c>
      <c r="B5" s="70" t="s">
        <v>7</v>
      </c>
      <c r="C5" s="59" t="s">
        <v>24</v>
      </c>
      <c r="D5" s="59" t="s">
        <v>25</v>
      </c>
      <c r="E5" s="59" t="s">
        <v>9</v>
      </c>
      <c r="F5" s="59" t="s">
        <v>26</v>
      </c>
      <c r="G5" s="69" t="s">
        <v>31</v>
      </c>
      <c r="H5" s="71" t="s">
        <v>10</v>
      </c>
    </row>
    <row r="6" spans="1:9" s="18" customFormat="1" ht="17.25" x14ac:dyDescent="0.35">
      <c r="A6" s="103" t="s">
        <v>12</v>
      </c>
      <c r="B6" s="104">
        <v>71</v>
      </c>
      <c r="C6" s="104"/>
      <c r="D6" s="104"/>
      <c r="E6" s="105" t="s">
        <v>13</v>
      </c>
      <c r="F6" s="104"/>
      <c r="G6" s="104" t="s">
        <v>35</v>
      </c>
      <c r="H6" s="106" t="s">
        <v>6</v>
      </c>
    </row>
    <row r="7" spans="1:9" s="18" customFormat="1" ht="17.25" x14ac:dyDescent="0.35">
      <c r="A7" s="107"/>
      <c r="B7" s="100"/>
      <c r="C7" s="100" t="s">
        <v>28</v>
      </c>
      <c r="D7" s="100">
        <v>13</v>
      </c>
      <c r="E7" s="99" t="s">
        <v>14</v>
      </c>
      <c r="F7" s="100" t="s">
        <v>106</v>
      </c>
      <c r="G7" s="100"/>
      <c r="H7" s="108" t="s">
        <v>69</v>
      </c>
    </row>
    <row r="8" spans="1:9" s="33" customFormat="1" ht="34.5" x14ac:dyDescent="0.35">
      <c r="A8" s="107" t="s">
        <v>38</v>
      </c>
      <c r="B8" s="110">
        <v>880</v>
      </c>
      <c r="C8" s="100" t="s">
        <v>27</v>
      </c>
      <c r="D8" s="100">
        <v>1</v>
      </c>
      <c r="E8" s="99" t="s">
        <v>70</v>
      </c>
      <c r="F8" s="100" t="s">
        <v>4</v>
      </c>
      <c r="G8" s="100" t="s">
        <v>35</v>
      </c>
      <c r="H8" s="109"/>
      <c r="I8" s="39"/>
    </row>
    <row r="9" spans="1:9" s="33" customFormat="1" ht="34.5" x14ac:dyDescent="0.35">
      <c r="A9" s="107" t="s">
        <v>39</v>
      </c>
      <c r="B9" s="110">
        <v>881</v>
      </c>
      <c r="C9" s="100" t="s">
        <v>27</v>
      </c>
      <c r="D9" s="100">
        <v>1</v>
      </c>
      <c r="E9" s="99" t="s">
        <v>71</v>
      </c>
      <c r="F9" s="100" t="s">
        <v>4</v>
      </c>
      <c r="G9" s="100" t="s">
        <v>35</v>
      </c>
      <c r="H9" s="109"/>
      <c r="I9" s="39"/>
    </row>
    <row r="10" spans="1:9" s="33" customFormat="1" ht="34.5" x14ac:dyDescent="0.35">
      <c r="A10" s="107" t="s">
        <v>40</v>
      </c>
      <c r="B10" s="110">
        <v>882</v>
      </c>
      <c r="C10" s="100" t="s">
        <v>27</v>
      </c>
      <c r="D10" s="100">
        <v>1</v>
      </c>
      <c r="E10" s="99" t="s">
        <v>72</v>
      </c>
      <c r="F10" s="100" t="s">
        <v>15</v>
      </c>
      <c r="G10" s="100" t="s">
        <v>35</v>
      </c>
      <c r="H10" s="109"/>
      <c r="I10" s="39"/>
    </row>
    <row r="11" spans="1:9" s="33" customFormat="1" ht="17.25" x14ac:dyDescent="0.35">
      <c r="A11" s="107" t="s">
        <v>73</v>
      </c>
      <c r="B11" s="110">
        <v>441</v>
      </c>
      <c r="C11" s="100"/>
      <c r="D11" s="100"/>
      <c r="E11" s="99"/>
      <c r="F11" s="100"/>
      <c r="G11" s="100" t="s">
        <v>44</v>
      </c>
      <c r="H11" s="109"/>
      <c r="I11" s="39"/>
    </row>
    <row r="12" spans="1:9" s="33" customFormat="1" ht="17.25" x14ac:dyDescent="0.35">
      <c r="A12" s="107"/>
      <c r="B12" s="110"/>
      <c r="C12" s="100" t="s">
        <v>27</v>
      </c>
      <c r="D12" s="100">
        <v>1</v>
      </c>
      <c r="E12" s="99" t="s">
        <v>11</v>
      </c>
      <c r="F12" s="100">
        <v>0</v>
      </c>
      <c r="G12" s="100"/>
      <c r="H12" s="109"/>
      <c r="I12" s="39"/>
    </row>
    <row r="13" spans="1:9" s="33" customFormat="1" ht="17.25" x14ac:dyDescent="0.35">
      <c r="A13" s="107"/>
      <c r="B13" s="110"/>
      <c r="C13" s="100" t="s">
        <v>27</v>
      </c>
      <c r="D13" s="100">
        <v>2</v>
      </c>
      <c r="E13" s="99" t="s">
        <v>74</v>
      </c>
      <c r="F13" s="100" t="s">
        <v>83</v>
      </c>
      <c r="G13" s="100"/>
      <c r="H13" s="109" t="s">
        <v>6</v>
      </c>
      <c r="I13" s="39"/>
    </row>
    <row r="14" spans="1:9" s="33" customFormat="1" ht="17.25" x14ac:dyDescent="0.35">
      <c r="A14" s="107" t="s">
        <v>75</v>
      </c>
      <c r="B14" s="110">
        <v>946</v>
      </c>
      <c r="C14" s="100"/>
      <c r="D14" s="100"/>
      <c r="E14" s="99"/>
      <c r="F14" s="100"/>
      <c r="G14" s="100" t="s">
        <v>44</v>
      </c>
      <c r="H14" s="109"/>
      <c r="I14" s="39"/>
    </row>
    <row r="15" spans="1:9" s="33" customFormat="1" ht="17.25" x14ac:dyDescent="0.35">
      <c r="A15" s="107"/>
      <c r="B15" s="110"/>
      <c r="C15" s="100" t="s">
        <v>27</v>
      </c>
      <c r="D15" s="100">
        <v>1</v>
      </c>
      <c r="E15" s="99" t="s">
        <v>11</v>
      </c>
      <c r="F15" s="100">
        <v>0</v>
      </c>
      <c r="G15" s="100"/>
      <c r="H15" s="109"/>
      <c r="I15" s="39"/>
    </row>
    <row r="16" spans="1:9" s="33" customFormat="1" ht="17.25" x14ac:dyDescent="0.35">
      <c r="A16" s="107"/>
      <c r="B16" s="110"/>
      <c r="C16" s="100" t="s">
        <v>27</v>
      </c>
      <c r="D16" s="100">
        <v>2</v>
      </c>
      <c r="E16" s="99" t="s">
        <v>76</v>
      </c>
      <c r="F16" s="100" t="s">
        <v>83</v>
      </c>
      <c r="G16" s="100"/>
      <c r="H16" s="109" t="s">
        <v>6</v>
      </c>
      <c r="I16" s="39"/>
    </row>
    <row r="17" spans="1:9" s="33" customFormat="1" ht="17.25" x14ac:dyDescent="0.35">
      <c r="A17" s="107" t="s">
        <v>77</v>
      </c>
      <c r="B17" s="110">
        <v>2954</v>
      </c>
      <c r="C17" s="100"/>
      <c r="D17" s="100"/>
      <c r="E17" s="99"/>
      <c r="F17" s="100"/>
      <c r="G17" s="100" t="s">
        <v>44</v>
      </c>
      <c r="H17" s="109"/>
      <c r="I17" s="39"/>
    </row>
    <row r="18" spans="1:9" s="33" customFormat="1" ht="17.25" x14ac:dyDescent="0.35">
      <c r="A18" s="107"/>
      <c r="B18" s="110"/>
      <c r="C18" s="100" t="s">
        <v>27</v>
      </c>
      <c r="D18" s="100">
        <v>1</v>
      </c>
      <c r="E18" s="99" t="s">
        <v>11</v>
      </c>
      <c r="F18" s="100">
        <v>0</v>
      </c>
      <c r="G18" s="100"/>
      <c r="H18" s="109"/>
      <c r="I18" s="39"/>
    </row>
    <row r="19" spans="1:9" s="33" customFormat="1" ht="17.25" x14ac:dyDescent="0.35">
      <c r="A19" s="107"/>
      <c r="B19" s="110"/>
      <c r="C19" s="100" t="s">
        <v>27</v>
      </c>
      <c r="D19" s="100">
        <v>4</v>
      </c>
      <c r="E19" s="99" t="s">
        <v>78</v>
      </c>
      <c r="F19" s="100" t="s">
        <v>41</v>
      </c>
      <c r="G19" s="100"/>
      <c r="H19" s="109" t="s">
        <v>6</v>
      </c>
      <c r="I19" s="39"/>
    </row>
    <row r="20" spans="1:9" s="33" customFormat="1" ht="34.5" x14ac:dyDescent="0.35">
      <c r="A20" s="107" t="s">
        <v>81</v>
      </c>
      <c r="B20" s="110">
        <v>3851</v>
      </c>
      <c r="C20" s="100" t="s">
        <v>27</v>
      </c>
      <c r="D20" s="100">
        <v>1</v>
      </c>
      <c r="E20" s="99" t="s">
        <v>82</v>
      </c>
      <c r="F20" s="100">
        <v>3</v>
      </c>
      <c r="G20" s="100" t="s">
        <v>35</v>
      </c>
      <c r="H20" s="109" t="s">
        <v>107</v>
      </c>
      <c r="I20" s="39"/>
    </row>
    <row r="21" spans="1:9" s="33" customFormat="1" ht="34.5" x14ac:dyDescent="0.35">
      <c r="A21" s="107" t="s">
        <v>108</v>
      </c>
      <c r="B21" s="110">
        <v>3852</v>
      </c>
      <c r="C21" s="100" t="s">
        <v>27</v>
      </c>
      <c r="D21" s="100">
        <v>1</v>
      </c>
      <c r="E21" s="99" t="s">
        <v>109</v>
      </c>
      <c r="F21" s="100">
        <v>51</v>
      </c>
      <c r="G21" s="100" t="s">
        <v>35</v>
      </c>
      <c r="H21" s="109" t="s">
        <v>110</v>
      </c>
      <c r="I21" s="39"/>
    </row>
    <row r="22" spans="1:9" s="33" customFormat="1" ht="34.5" x14ac:dyDescent="0.35">
      <c r="A22" s="107" t="s">
        <v>111</v>
      </c>
      <c r="B22" s="110">
        <v>3649</v>
      </c>
      <c r="C22" s="100" t="s">
        <v>27</v>
      </c>
      <c r="D22" s="100">
        <v>1</v>
      </c>
      <c r="E22" s="99" t="s">
        <v>112</v>
      </c>
      <c r="F22" s="100">
        <v>4</v>
      </c>
      <c r="G22" s="100" t="s">
        <v>35</v>
      </c>
      <c r="H22" s="109"/>
      <c r="I22" s="39"/>
    </row>
    <row r="23" spans="1:9" s="33" customFormat="1" ht="17.25" x14ac:dyDescent="0.35">
      <c r="A23" s="107" t="s">
        <v>113</v>
      </c>
      <c r="B23" s="110">
        <v>4118</v>
      </c>
      <c r="C23" s="100" t="s">
        <v>27</v>
      </c>
      <c r="D23" s="100">
        <v>1</v>
      </c>
      <c r="E23" s="99" t="s">
        <v>114</v>
      </c>
      <c r="F23" s="100">
        <v>24</v>
      </c>
      <c r="G23" s="100" t="s">
        <v>35</v>
      </c>
      <c r="H23" s="109"/>
      <c r="I23" s="39"/>
    </row>
    <row r="24" spans="1:9" s="33" customFormat="1" ht="34.5" x14ac:dyDescent="0.35">
      <c r="A24" s="107" t="s">
        <v>115</v>
      </c>
      <c r="B24" s="110">
        <v>4210</v>
      </c>
      <c r="C24" s="100" t="s">
        <v>27</v>
      </c>
      <c r="D24" s="100">
        <v>1</v>
      </c>
      <c r="E24" s="99" t="s">
        <v>116</v>
      </c>
      <c r="F24" s="100">
        <v>6</v>
      </c>
      <c r="G24" s="100" t="s">
        <v>35</v>
      </c>
      <c r="H24" s="109"/>
      <c r="I24" s="39"/>
    </row>
    <row r="25" spans="1:9" s="33" customFormat="1" ht="34.5" x14ac:dyDescent="0.35">
      <c r="A25" s="107" t="s">
        <v>117</v>
      </c>
      <c r="B25" s="110">
        <v>4398</v>
      </c>
      <c r="C25" s="100" t="s">
        <v>27</v>
      </c>
      <c r="D25" s="100">
        <v>1</v>
      </c>
      <c r="E25" s="99" t="s">
        <v>118</v>
      </c>
      <c r="F25" s="100">
        <v>0</v>
      </c>
      <c r="G25" s="100" t="s">
        <v>35</v>
      </c>
      <c r="H25" s="109" t="s">
        <v>119</v>
      </c>
      <c r="I25" s="39"/>
    </row>
    <row r="26" spans="1:9" s="33" customFormat="1" ht="34.5" x14ac:dyDescent="0.35">
      <c r="A26" s="107" t="s">
        <v>120</v>
      </c>
      <c r="B26" s="110">
        <v>1016</v>
      </c>
      <c r="C26" s="100" t="s">
        <v>27</v>
      </c>
      <c r="D26" s="100">
        <v>1</v>
      </c>
      <c r="E26" s="99" t="s">
        <v>79</v>
      </c>
      <c r="F26" s="100">
        <v>1</v>
      </c>
      <c r="G26" s="100" t="s">
        <v>35</v>
      </c>
      <c r="H26" s="109" t="s">
        <v>121</v>
      </c>
      <c r="I26" s="39"/>
    </row>
    <row r="27" spans="1:9" s="33" customFormat="1" ht="34.5" x14ac:dyDescent="0.35">
      <c r="A27" s="107" t="s">
        <v>122</v>
      </c>
      <c r="B27" s="110">
        <v>1017</v>
      </c>
      <c r="C27" s="100" t="s">
        <v>27</v>
      </c>
      <c r="D27" s="100">
        <v>1</v>
      </c>
      <c r="E27" s="99" t="s">
        <v>80</v>
      </c>
      <c r="F27" s="100">
        <v>2</v>
      </c>
      <c r="G27" s="100" t="s">
        <v>35</v>
      </c>
      <c r="H27" s="109" t="s">
        <v>123</v>
      </c>
      <c r="I27" s="39"/>
    </row>
    <row r="28" spans="1:9" s="33" customFormat="1" ht="51.75" x14ac:dyDescent="0.35">
      <c r="A28" s="107" t="s">
        <v>124</v>
      </c>
      <c r="B28" s="110">
        <v>6878</v>
      </c>
      <c r="C28" s="100" t="s">
        <v>27</v>
      </c>
      <c r="D28" s="100">
        <v>1</v>
      </c>
      <c r="E28" s="99" t="s">
        <v>125</v>
      </c>
      <c r="F28" s="100">
        <v>1</v>
      </c>
      <c r="G28" s="100" t="s">
        <v>35</v>
      </c>
      <c r="H28" s="109" t="s">
        <v>126</v>
      </c>
      <c r="I28" s="39"/>
    </row>
    <row r="29" spans="1:9" s="33" customFormat="1" ht="18" thickBot="1" x14ac:dyDescent="0.4">
      <c r="A29" s="111"/>
      <c r="B29" s="102"/>
      <c r="C29" s="102"/>
      <c r="D29" s="102"/>
      <c r="E29" s="112"/>
      <c r="F29" s="102"/>
      <c r="G29" s="102"/>
      <c r="H29" s="101"/>
    </row>
    <row r="30" spans="1:9" s="33" customFormat="1" ht="15.75" thickBot="1" x14ac:dyDescent="0.35">
      <c r="A30" s="66"/>
      <c r="B30" s="67"/>
      <c r="C30" s="57"/>
      <c r="D30" s="57"/>
      <c r="E30" s="57"/>
      <c r="F30" s="37"/>
      <c r="G30" s="57"/>
      <c r="H30" s="65"/>
    </row>
    <row r="31" spans="1:9" s="33" customFormat="1" ht="20.25" thickBot="1" x14ac:dyDescent="0.45">
      <c r="A31" s="72" t="s">
        <v>30</v>
      </c>
      <c r="B31" s="73"/>
      <c r="C31" s="73"/>
      <c r="D31" s="73"/>
      <c r="E31" s="73"/>
      <c r="F31" s="73"/>
      <c r="G31" s="73"/>
      <c r="H31" s="74"/>
      <c r="I31" s="63"/>
    </row>
    <row r="32" spans="1:9" s="13" customFormat="1" ht="15.75" thickBot="1" x14ac:dyDescent="0.35">
      <c r="A32" s="68" t="s">
        <v>16</v>
      </c>
      <c r="B32" s="69" t="s">
        <v>17</v>
      </c>
      <c r="C32" s="69" t="s">
        <v>24</v>
      </c>
      <c r="D32" s="68" t="s">
        <v>33</v>
      </c>
      <c r="E32" s="68" t="s">
        <v>32</v>
      </c>
      <c r="F32" s="68" t="s">
        <v>26</v>
      </c>
      <c r="G32" s="64" t="s">
        <v>31</v>
      </c>
      <c r="H32" s="80" t="s">
        <v>36</v>
      </c>
      <c r="I32" s="81" t="s">
        <v>18</v>
      </c>
    </row>
    <row r="33" spans="1:9" s="39" customFormat="1" ht="17.25" x14ac:dyDescent="0.35">
      <c r="A33" s="90" t="s">
        <v>127</v>
      </c>
      <c r="B33" s="91" t="s">
        <v>128</v>
      </c>
      <c r="C33" s="91" t="s">
        <v>42</v>
      </c>
      <c r="D33" s="91"/>
      <c r="E33" s="91"/>
      <c r="F33" s="91"/>
      <c r="G33" s="91" t="s">
        <v>35</v>
      </c>
      <c r="H33" s="92"/>
      <c r="I33" s="84">
        <v>69733</v>
      </c>
    </row>
    <row r="34" spans="1:9" s="39" customFormat="1" ht="17.25" x14ac:dyDescent="0.35">
      <c r="A34" s="93" t="s">
        <v>85</v>
      </c>
      <c r="B34" s="94" t="s">
        <v>85</v>
      </c>
      <c r="C34" s="94"/>
      <c r="D34" s="94" t="s">
        <v>27</v>
      </c>
      <c r="E34" s="94">
        <v>1</v>
      </c>
      <c r="F34" s="94">
        <v>5</v>
      </c>
      <c r="G34" s="94"/>
      <c r="H34" s="95"/>
      <c r="I34" s="84" t="s">
        <v>86</v>
      </c>
    </row>
    <row r="35" spans="1:9" s="39" customFormat="1" ht="17.25" x14ac:dyDescent="0.35">
      <c r="A35" s="93" t="s">
        <v>85</v>
      </c>
      <c r="B35" s="94" t="s">
        <v>85</v>
      </c>
      <c r="C35" s="94"/>
      <c r="D35" s="94" t="s">
        <v>27</v>
      </c>
      <c r="E35" s="94">
        <v>1</v>
      </c>
      <c r="F35" s="94">
        <v>0</v>
      </c>
      <c r="G35" s="94"/>
      <c r="H35" s="95"/>
      <c r="I35" s="84" t="s">
        <v>129</v>
      </c>
    </row>
    <row r="36" spans="1:9" s="39" customFormat="1" ht="17.25" x14ac:dyDescent="0.35">
      <c r="A36" s="93" t="s">
        <v>85</v>
      </c>
      <c r="B36" s="94" t="s">
        <v>85</v>
      </c>
      <c r="C36" s="94"/>
      <c r="D36" s="94" t="s">
        <v>27</v>
      </c>
      <c r="E36" s="94">
        <v>1</v>
      </c>
      <c r="F36" s="94">
        <v>0</v>
      </c>
      <c r="G36" s="94"/>
      <c r="H36" s="95"/>
      <c r="I36" s="84" t="s">
        <v>130</v>
      </c>
    </row>
    <row r="37" spans="1:9" s="39" customFormat="1" ht="17.25" x14ac:dyDescent="0.35">
      <c r="A37" s="93" t="s">
        <v>85</v>
      </c>
      <c r="B37" s="94" t="s">
        <v>85</v>
      </c>
      <c r="C37" s="94"/>
      <c r="D37" s="94" t="s">
        <v>27</v>
      </c>
      <c r="E37" s="94">
        <v>1</v>
      </c>
      <c r="F37" s="94">
        <v>0</v>
      </c>
      <c r="G37" s="94"/>
      <c r="H37" s="95"/>
      <c r="I37" s="84" t="s">
        <v>131</v>
      </c>
    </row>
    <row r="38" spans="1:9" s="39" customFormat="1" ht="17.25" x14ac:dyDescent="0.35">
      <c r="A38" s="93" t="s">
        <v>85</v>
      </c>
      <c r="B38" s="94" t="s">
        <v>85</v>
      </c>
      <c r="C38" s="94"/>
      <c r="D38" s="94" t="s">
        <v>27</v>
      </c>
      <c r="E38" s="94">
        <v>1</v>
      </c>
      <c r="F38" s="94">
        <v>0</v>
      </c>
      <c r="G38" s="94"/>
      <c r="H38" s="95"/>
      <c r="I38" s="84" t="s">
        <v>132</v>
      </c>
    </row>
    <row r="39" spans="1:9" s="39" customFormat="1" ht="17.25" x14ac:dyDescent="0.35">
      <c r="A39" s="93" t="s">
        <v>85</v>
      </c>
      <c r="B39" s="94" t="s">
        <v>85</v>
      </c>
      <c r="C39" s="94"/>
      <c r="D39" s="94" t="s">
        <v>27</v>
      </c>
      <c r="E39" s="94">
        <v>1</v>
      </c>
      <c r="F39" s="94">
        <v>0</v>
      </c>
      <c r="G39" s="94"/>
      <c r="H39" s="95"/>
      <c r="I39" s="84" t="s">
        <v>133</v>
      </c>
    </row>
    <row r="40" spans="1:9" s="39" customFormat="1" ht="17.25" x14ac:dyDescent="0.35">
      <c r="A40" s="93" t="s">
        <v>85</v>
      </c>
      <c r="B40" s="94" t="s">
        <v>85</v>
      </c>
      <c r="C40" s="94"/>
      <c r="D40" s="94" t="s">
        <v>27</v>
      </c>
      <c r="E40" s="94">
        <v>1</v>
      </c>
      <c r="F40" s="94">
        <v>0</v>
      </c>
      <c r="G40" s="94"/>
      <c r="H40" s="95"/>
      <c r="I40" s="84" t="s">
        <v>134</v>
      </c>
    </row>
    <row r="41" spans="1:9" s="39" customFormat="1" ht="17.25" x14ac:dyDescent="0.35">
      <c r="A41" s="93" t="s">
        <v>85</v>
      </c>
      <c r="B41" s="94" t="s">
        <v>85</v>
      </c>
      <c r="C41" s="94"/>
      <c r="D41" s="94" t="s">
        <v>27</v>
      </c>
      <c r="E41" s="94">
        <v>1</v>
      </c>
      <c r="F41" s="94">
        <v>0</v>
      </c>
      <c r="G41" s="94"/>
      <c r="H41" s="95"/>
      <c r="I41" s="84" t="s">
        <v>135</v>
      </c>
    </row>
    <row r="42" spans="1:9" s="39" customFormat="1" ht="17.25" x14ac:dyDescent="0.35">
      <c r="A42" s="93" t="s">
        <v>85</v>
      </c>
      <c r="B42" s="94" t="s">
        <v>85</v>
      </c>
      <c r="C42" s="94"/>
      <c r="D42" s="94" t="s">
        <v>27</v>
      </c>
      <c r="E42" s="94">
        <v>1</v>
      </c>
      <c r="F42" s="94">
        <v>1</v>
      </c>
      <c r="G42" s="94"/>
      <c r="H42" s="95"/>
      <c r="I42" s="84" t="s">
        <v>136</v>
      </c>
    </row>
    <row r="43" spans="1:9" s="39" customFormat="1" ht="17.25" x14ac:dyDescent="0.35">
      <c r="A43" s="93"/>
      <c r="B43" s="94"/>
      <c r="C43" s="94"/>
      <c r="D43" s="94" t="s">
        <v>27</v>
      </c>
      <c r="E43" s="94">
        <v>4</v>
      </c>
      <c r="F43" s="94"/>
      <c r="G43" s="94"/>
      <c r="H43" s="95"/>
      <c r="I43" s="84" t="s">
        <v>137</v>
      </c>
    </row>
    <row r="44" spans="1:9" s="39" customFormat="1" ht="17.25" x14ac:dyDescent="0.35">
      <c r="A44" s="93" t="s">
        <v>138</v>
      </c>
      <c r="B44" s="94" t="s">
        <v>139</v>
      </c>
      <c r="C44" s="94" t="s">
        <v>42</v>
      </c>
      <c r="D44" s="94"/>
      <c r="E44" s="94"/>
      <c r="F44" s="94"/>
      <c r="G44" s="94" t="s">
        <v>35</v>
      </c>
      <c r="H44" s="95"/>
      <c r="I44" s="84">
        <v>73503</v>
      </c>
    </row>
    <row r="45" spans="1:9" s="39" customFormat="1" ht="17.25" x14ac:dyDescent="0.35">
      <c r="A45" s="93" t="s">
        <v>85</v>
      </c>
      <c r="B45" s="94" t="s">
        <v>85</v>
      </c>
      <c r="C45" s="94"/>
      <c r="D45" s="94" t="s">
        <v>27</v>
      </c>
      <c r="E45" s="94">
        <v>1</v>
      </c>
      <c r="F45" s="94">
        <v>1</v>
      </c>
      <c r="G45" s="94"/>
      <c r="H45" s="95"/>
      <c r="I45" s="84" t="s">
        <v>140</v>
      </c>
    </row>
    <row r="46" spans="1:9" s="39" customFormat="1" ht="17.25" x14ac:dyDescent="0.35">
      <c r="A46" s="93" t="s">
        <v>85</v>
      </c>
      <c r="B46" s="94" t="s">
        <v>85</v>
      </c>
      <c r="C46" s="94"/>
      <c r="D46" s="94" t="s">
        <v>27</v>
      </c>
      <c r="E46" s="94">
        <v>1</v>
      </c>
      <c r="F46" s="94" t="s">
        <v>141</v>
      </c>
      <c r="G46" s="94"/>
      <c r="H46" s="95"/>
      <c r="I46" s="84" t="s">
        <v>142</v>
      </c>
    </row>
    <row r="47" spans="1:9" s="39" customFormat="1" ht="17.25" x14ac:dyDescent="0.35">
      <c r="A47" s="93" t="s">
        <v>85</v>
      </c>
      <c r="B47" s="94" t="s">
        <v>85</v>
      </c>
      <c r="C47" s="94"/>
      <c r="D47" s="94" t="s">
        <v>27</v>
      </c>
      <c r="E47" s="94">
        <v>1</v>
      </c>
      <c r="F47" s="94">
        <v>1</v>
      </c>
      <c r="G47" s="94"/>
      <c r="H47" s="95"/>
      <c r="I47" s="84" t="s">
        <v>143</v>
      </c>
    </row>
    <row r="48" spans="1:9" s="39" customFormat="1" ht="17.25" x14ac:dyDescent="0.35">
      <c r="A48" s="93" t="s">
        <v>85</v>
      </c>
      <c r="B48" s="94" t="s">
        <v>85</v>
      </c>
      <c r="C48" s="94"/>
      <c r="D48" s="94" t="s">
        <v>27</v>
      </c>
      <c r="E48" s="94">
        <v>2</v>
      </c>
      <c r="F48" s="94" t="s">
        <v>144</v>
      </c>
      <c r="G48" s="94"/>
      <c r="H48" s="95"/>
      <c r="I48" s="84" t="s">
        <v>145</v>
      </c>
    </row>
    <row r="49" spans="1:9" s="39" customFormat="1" ht="17.25" x14ac:dyDescent="0.35">
      <c r="A49" s="93" t="s">
        <v>85</v>
      </c>
      <c r="B49" s="94" t="s">
        <v>85</v>
      </c>
      <c r="C49" s="94"/>
      <c r="D49" s="94" t="s">
        <v>27</v>
      </c>
      <c r="E49" s="94">
        <v>2</v>
      </c>
      <c r="F49" s="94" t="s">
        <v>83</v>
      </c>
      <c r="G49" s="94"/>
      <c r="H49" s="95"/>
      <c r="I49" s="84" t="s">
        <v>146</v>
      </c>
    </row>
    <row r="50" spans="1:9" s="39" customFormat="1" ht="17.25" x14ac:dyDescent="0.35">
      <c r="A50" s="93" t="s">
        <v>147</v>
      </c>
      <c r="B50" s="94" t="s">
        <v>148</v>
      </c>
      <c r="C50" s="94" t="s">
        <v>42</v>
      </c>
      <c r="D50" s="94"/>
      <c r="E50" s="94"/>
      <c r="F50" s="94"/>
      <c r="G50" s="94" t="s">
        <v>35</v>
      </c>
      <c r="H50" s="95"/>
      <c r="I50" s="84">
        <v>72562</v>
      </c>
    </row>
    <row r="51" spans="1:9" s="39" customFormat="1" ht="17.25" x14ac:dyDescent="0.35">
      <c r="A51" s="93" t="s">
        <v>85</v>
      </c>
      <c r="B51" s="94" t="s">
        <v>85</v>
      </c>
      <c r="C51" s="94"/>
      <c r="D51" s="94" t="s">
        <v>27</v>
      </c>
      <c r="E51" s="94">
        <v>1</v>
      </c>
      <c r="F51" s="94">
        <v>5</v>
      </c>
      <c r="G51" s="94"/>
      <c r="H51" s="95"/>
      <c r="I51" s="84" t="s">
        <v>149</v>
      </c>
    </row>
    <row r="52" spans="1:9" s="39" customFormat="1" ht="17.25" x14ac:dyDescent="0.35">
      <c r="A52" s="93" t="s">
        <v>150</v>
      </c>
      <c r="B52" s="94" t="s">
        <v>151</v>
      </c>
      <c r="C52" s="94" t="s">
        <v>42</v>
      </c>
      <c r="D52" s="94"/>
      <c r="E52" s="94"/>
      <c r="F52" s="94"/>
      <c r="G52" s="94" t="s">
        <v>35</v>
      </c>
      <c r="H52" s="95"/>
      <c r="I52" s="84">
        <v>67221</v>
      </c>
    </row>
    <row r="53" spans="1:9" s="39" customFormat="1" ht="17.25" x14ac:dyDescent="0.35">
      <c r="A53" s="93"/>
      <c r="B53" s="94"/>
      <c r="C53" s="94"/>
      <c r="D53" s="94" t="s">
        <v>27</v>
      </c>
      <c r="E53" s="94">
        <v>1</v>
      </c>
      <c r="F53" s="94">
        <v>0</v>
      </c>
      <c r="G53" s="94"/>
      <c r="H53" s="95"/>
      <c r="I53" s="84" t="s">
        <v>152</v>
      </c>
    </row>
    <row r="54" spans="1:9" s="39" customFormat="1" ht="17.25" x14ac:dyDescent="0.35">
      <c r="A54" s="93"/>
      <c r="B54" s="94"/>
      <c r="C54" s="94"/>
      <c r="D54" s="94" t="s">
        <v>27</v>
      </c>
      <c r="E54" s="94">
        <v>1</v>
      </c>
      <c r="F54" s="94">
        <v>3</v>
      </c>
      <c r="G54" s="94"/>
      <c r="H54" s="95"/>
      <c r="I54" s="84" t="s">
        <v>153</v>
      </c>
    </row>
    <row r="55" spans="1:9" s="39" customFormat="1" ht="17.25" x14ac:dyDescent="0.35">
      <c r="A55" s="93"/>
      <c r="B55" s="94"/>
      <c r="C55" s="94"/>
      <c r="D55" s="94" t="s">
        <v>27</v>
      </c>
      <c r="E55" s="94">
        <v>1</v>
      </c>
      <c r="F55" s="94">
        <v>3</v>
      </c>
      <c r="G55" s="94"/>
      <c r="H55" s="95"/>
      <c r="I55" s="84" t="s">
        <v>154</v>
      </c>
    </row>
    <row r="56" spans="1:9" s="39" customFormat="1" ht="17.25" x14ac:dyDescent="0.35">
      <c r="A56" s="93"/>
      <c r="B56" s="94"/>
      <c r="C56" s="94"/>
      <c r="D56" s="94" t="s">
        <v>28</v>
      </c>
      <c r="E56" s="94">
        <v>32</v>
      </c>
      <c r="F56" s="94">
        <v>190</v>
      </c>
      <c r="G56" s="94"/>
      <c r="H56" s="95"/>
      <c r="I56" s="84" t="s">
        <v>155</v>
      </c>
    </row>
    <row r="57" spans="1:9" s="39" customFormat="1" ht="17.25" x14ac:dyDescent="0.35">
      <c r="A57" s="93"/>
      <c r="B57" s="94"/>
      <c r="C57" s="94"/>
      <c r="D57" s="94" t="s">
        <v>28</v>
      </c>
      <c r="E57" s="94">
        <v>12</v>
      </c>
      <c r="F57" s="94"/>
      <c r="G57" s="94"/>
      <c r="H57" s="95"/>
      <c r="I57" s="84" t="s">
        <v>156</v>
      </c>
    </row>
    <row r="58" spans="1:9" s="39" customFormat="1" ht="17.25" x14ac:dyDescent="0.35">
      <c r="A58" s="93"/>
      <c r="B58" s="94"/>
      <c r="C58" s="94"/>
      <c r="D58" s="94" t="s">
        <v>27</v>
      </c>
      <c r="E58" s="94">
        <v>1</v>
      </c>
      <c r="F58" s="94">
        <v>2</v>
      </c>
      <c r="G58" s="94"/>
      <c r="H58" s="95"/>
      <c r="I58" s="84" t="s">
        <v>157</v>
      </c>
    </row>
    <row r="59" spans="1:9" s="39" customFormat="1" ht="17.25" x14ac:dyDescent="0.35">
      <c r="A59" s="93"/>
      <c r="B59" s="94"/>
      <c r="C59" s="94"/>
      <c r="D59" s="94" t="s">
        <v>27</v>
      </c>
      <c r="E59" s="94">
        <v>1</v>
      </c>
      <c r="F59" s="94">
        <v>0</v>
      </c>
      <c r="G59" s="94"/>
      <c r="H59" s="95"/>
      <c r="I59" s="84" t="s">
        <v>158</v>
      </c>
    </row>
    <row r="60" spans="1:9" s="39" customFormat="1" ht="17.25" x14ac:dyDescent="0.35">
      <c r="A60" s="93"/>
      <c r="B60" s="94"/>
      <c r="C60" s="94"/>
      <c r="D60" s="94" t="s">
        <v>27</v>
      </c>
      <c r="E60" s="94">
        <v>1</v>
      </c>
      <c r="F60" s="94">
        <v>3</v>
      </c>
      <c r="G60" s="94"/>
      <c r="H60" s="95"/>
      <c r="I60" s="84" t="s">
        <v>159</v>
      </c>
    </row>
    <row r="61" spans="1:9" s="39" customFormat="1" ht="17.25" x14ac:dyDescent="0.35">
      <c r="A61" s="93"/>
      <c r="B61" s="94"/>
      <c r="C61" s="94"/>
      <c r="D61" s="94" t="s">
        <v>27</v>
      </c>
      <c r="E61" s="94">
        <v>1</v>
      </c>
      <c r="F61" s="94">
        <v>3</v>
      </c>
      <c r="G61" s="94"/>
      <c r="H61" s="95"/>
      <c r="I61" s="84" t="s">
        <v>160</v>
      </c>
    </row>
    <row r="62" spans="1:9" s="39" customFormat="1" ht="17.25" x14ac:dyDescent="0.35">
      <c r="A62" s="93"/>
      <c r="B62" s="94"/>
      <c r="C62" s="94"/>
      <c r="D62" s="94" t="s">
        <v>28</v>
      </c>
      <c r="E62" s="94">
        <v>32</v>
      </c>
      <c r="F62" s="94">
        <v>112</v>
      </c>
      <c r="G62" s="94"/>
      <c r="H62" s="95"/>
      <c r="I62" s="84" t="s">
        <v>161</v>
      </c>
    </row>
    <row r="63" spans="1:9" s="39" customFormat="1" ht="17.25" x14ac:dyDescent="0.35">
      <c r="A63" s="93"/>
      <c r="B63" s="94"/>
      <c r="C63" s="94"/>
      <c r="D63" s="94" t="s">
        <v>28</v>
      </c>
      <c r="E63" s="94">
        <v>12</v>
      </c>
      <c r="F63" s="94"/>
      <c r="G63" s="94"/>
      <c r="H63" s="95"/>
      <c r="I63" s="84" t="s">
        <v>162</v>
      </c>
    </row>
    <row r="64" spans="1:9" s="39" customFormat="1" ht="17.25" x14ac:dyDescent="0.35">
      <c r="A64" s="93"/>
      <c r="B64" s="94"/>
      <c r="C64" s="94"/>
      <c r="D64" s="94" t="s">
        <v>27</v>
      </c>
      <c r="E64" s="94">
        <v>1</v>
      </c>
      <c r="F64" s="94">
        <v>2</v>
      </c>
      <c r="G64" s="94"/>
      <c r="H64" s="95"/>
      <c r="I64" s="84" t="s">
        <v>163</v>
      </c>
    </row>
    <row r="65" spans="1:9" s="39" customFormat="1" ht="17.25" x14ac:dyDescent="0.35">
      <c r="A65" s="93"/>
      <c r="B65" s="94"/>
      <c r="C65" s="94"/>
      <c r="D65" s="94" t="s">
        <v>27</v>
      </c>
      <c r="E65" s="94">
        <v>1</v>
      </c>
      <c r="F65" s="94">
        <v>0</v>
      </c>
      <c r="G65" s="94"/>
      <c r="H65" s="95"/>
      <c r="I65" s="84" t="s">
        <v>164</v>
      </c>
    </row>
    <row r="66" spans="1:9" s="39" customFormat="1" ht="17.25" x14ac:dyDescent="0.35">
      <c r="A66" s="93"/>
      <c r="B66" s="94"/>
      <c r="C66" s="94"/>
      <c r="D66" s="94" t="s">
        <v>27</v>
      </c>
      <c r="E66" s="94">
        <v>1</v>
      </c>
      <c r="F66" s="94">
        <v>3</v>
      </c>
      <c r="G66" s="94"/>
      <c r="H66" s="95"/>
      <c r="I66" s="84" t="s">
        <v>165</v>
      </c>
    </row>
    <row r="67" spans="1:9" s="39" customFormat="1" ht="17.25" x14ac:dyDescent="0.35">
      <c r="A67" s="93"/>
      <c r="B67" s="94"/>
      <c r="C67" s="94"/>
      <c r="D67" s="94" t="s">
        <v>27</v>
      </c>
      <c r="E67" s="94">
        <v>1</v>
      </c>
      <c r="F67" s="94">
        <v>3</v>
      </c>
      <c r="G67" s="94"/>
      <c r="H67" s="95"/>
      <c r="I67" s="84" t="s">
        <v>166</v>
      </c>
    </row>
    <row r="68" spans="1:9" s="39" customFormat="1" ht="17.25" x14ac:dyDescent="0.35">
      <c r="A68" s="93"/>
      <c r="B68" s="94"/>
      <c r="C68" s="94"/>
      <c r="D68" s="94" t="s">
        <v>28</v>
      </c>
      <c r="E68" s="94">
        <v>32</v>
      </c>
      <c r="F68" s="94">
        <v>911</v>
      </c>
      <c r="G68" s="94"/>
      <c r="H68" s="95"/>
      <c r="I68" s="84" t="s">
        <v>167</v>
      </c>
    </row>
    <row r="69" spans="1:9" s="39" customFormat="1" ht="17.25" x14ac:dyDescent="0.35">
      <c r="A69" s="93"/>
      <c r="B69" s="94"/>
      <c r="C69" s="94"/>
      <c r="D69" s="94" t="s">
        <v>28</v>
      </c>
      <c r="E69" s="94">
        <v>12</v>
      </c>
      <c r="F69" s="94"/>
      <c r="G69" s="94"/>
      <c r="H69" s="95"/>
      <c r="I69" s="84" t="s">
        <v>168</v>
      </c>
    </row>
    <row r="70" spans="1:9" s="39" customFormat="1" ht="17.25" x14ac:dyDescent="0.35">
      <c r="A70" s="93"/>
      <c r="B70" s="94"/>
      <c r="C70" s="94"/>
      <c r="D70" s="94" t="s">
        <v>27</v>
      </c>
      <c r="E70" s="94">
        <v>1</v>
      </c>
      <c r="F70" s="94">
        <v>2</v>
      </c>
      <c r="G70" s="94"/>
      <c r="H70" s="95"/>
      <c r="I70" s="84" t="s">
        <v>169</v>
      </c>
    </row>
    <row r="71" spans="1:9" s="39" customFormat="1" ht="17.25" x14ac:dyDescent="0.35">
      <c r="A71" s="93"/>
      <c r="B71" s="94"/>
      <c r="C71" s="94"/>
      <c r="D71" s="94" t="s">
        <v>27</v>
      </c>
      <c r="E71" s="94">
        <v>1</v>
      </c>
      <c r="F71" s="94">
        <v>0</v>
      </c>
      <c r="G71" s="94"/>
      <c r="H71" s="95"/>
      <c r="I71" s="84" t="s">
        <v>170</v>
      </c>
    </row>
    <row r="72" spans="1:9" s="39" customFormat="1" ht="17.25" x14ac:dyDescent="0.35">
      <c r="A72" s="93"/>
      <c r="B72" s="94"/>
      <c r="C72" s="94"/>
      <c r="D72" s="94" t="s">
        <v>27</v>
      </c>
      <c r="E72" s="94">
        <v>1</v>
      </c>
      <c r="F72" s="94">
        <v>0</v>
      </c>
      <c r="G72" s="94"/>
      <c r="H72" s="95"/>
      <c r="I72" s="84" t="s">
        <v>171</v>
      </c>
    </row>
    <row r="73" spans="1:9" s="39" customFormat="1" ht="17.25" x14ac:dyDescent="0.35">
      <c r="A73" s="93"/>
      <c r="B73" s="94"/>
      <c r="C73" s="94"/>
      <c r="D73" s="94" t="s">
        <v>27</v>
      </c>
      <c r="E73" s="94">
        <v>1</v>
      </c>
      <c r="F73" s="94">
        <v>0</v>
      </c>
      <c r="G73" s="94"/>
      <c r="H73" s="95"/>
      <c r="I73" s="84" t="s">
        <v>172</v>
      </c>
    </row>
    <row r="74" spans="1:9" s="39" customFormat="1" ht="17.25" x14ac:dyDescent="0.35">
      <c r="A74" s="93"/>
      <c r="B74" s="94"/>
      <c r="C74" s="94"/>
      <c r="D74" s="94" t="s">
        <v>28</v>
      </c>
      <c r="E74" s="94">
        <v>32</v>
      </c>
      <c r="F74" s="94"/>
      <c r="G74" s="94"/>
      <c r="H74" s="95"/>
      <c r="I74" s="84" t="s">
        <v>173</v>
      </c>
    </row>
    <row r="75" spans="1:9" s="39" customFormat="1" ht="17.25" x14ac:dyDescent="0.35">
      <c r="A75" s="93"/>
      <c r="B75" s="94"/>
      <c r="C75" s="94"/>
      <c r="D75" s="94" t="s">
        <v>28</v>
      </c>
      <c r="E75" s="94">
        <v>12</v>
      </c>
      <c r="F75" s="94"/>
      <c r="G75" s="94"/>
      <c r="H75" s="95"/>
      <c r="I75" s="84" t="s">
        <v>174</v>
      </c>
    </row>
    <row r="76" spans="1:9" s="39" customFormat="1" ht="17.25" x14ac:dyDescent="0.35">
      <c r="A76" s="93"/>
      <c r="B76" s="94"/>
      <c r="C76" s="94"/>
      <c r="D76" s="94" t="s">
        <v>27</v>
      </c>
      <c r="E76" s="94">
        <v>1</v>
      </c>
      <c r="F76" s="94">
        <v>0</v>
      </c>
      <c r="G76" s="94"/>
      <c r="H76" s="95"/>
      <c r="I76" s="84" t="s">
        <v>175</v>
      </c>
    </row>
    <row r="77" spans="1:9" s="39" customFormat="1" ht="17.25" x14ac:dyDescent="0.35">
      <c r="A77" s="93"/>
      <c r="B77" s="94"/>
      <c r="C77" s="94"/>
      <c r="D77" s="94" t="s">
        <v>27</v>
      </c>
      <c r="E77" s="94">
        <v>1</v>
      </c>
      <c r="F77" s="94">
        <v>0</v>
      </c>
      <c r="G77" s="94"/>
      <c r="H77" s="95"/>
      <c r="I77" s="84" t="s">
        <v>176</v>
      </c>
    </row>
    <row r="78" spans="1:9" s="39" customFormat="1" ht="17.25" x14ac:dyDescent="0.35">
      <c r="A78" s="93"/>
      <c r="B78" s="94"/>
      <c r="C78" s="94"/>
      <c r="D78" s="94" t="s">
        <v>27</v>
      </c>
      <c r="E78" s="94">
        <v>1</v>
      </c>
      <c r="F78" s="94">
        <v>0</v>
      </c>
      <c r="G78" s="94"/>
      <c r="H78" s="95"/>
      <c r="I78" s="84" t="s">
        <v>177</v>
      </c>
    </row>
    <row r="79" spans="1:9" s="39" customFormat="1" ht="17.25" x14ac:dyDescent="0.35">
      <c r="A79" s="93"/>
      <c r="B79" s="94"/>
      <c r="C79" s="94"/>
      <c r="D79" s="94" t="s">
        <v>27</v>
      </c>
      <c r="E79" s="94">
        <v>1</v>
      </c>
      <c r="F79" s="94">
        <v>0</v>
      </c>
      <c r="G79" s="94"/>
      <c r="H79" s="95"/>
      <c r="I79" s="84" t="s">
        <v>178</v>
      </c>
    </row>
    <row r="80" spans="1:9" s="39" customFormat="1" ht="17.25" x14ac:dyDescent="0.35">
      <c r="A80" s="93"/>
      <c r="B80" s="94"/>
      <c r="C80" s="94"/>
      <c r="D80" s="94" t="s">
        <v>28</v>
      </c>
      <c r="E80" s="94">
        <v>32</v>
      </c>
      <c r="F80" s="94"/>
      <c r="G80" s="94"/>
      <c r="H80" s="95"/>
      <c r="I80" s="84" t="s">
        <v>179</v>
      </c>
    </row>
    <row r="81" spans="1:9" s="39" customFormat="1" ht="17.25" x14ac:dyDescent="0.35">
      <c r="A81" s="93"/>
      <c r="B81" s="94"/>
      <c r="C81" s="94"/>
      <c r="D81" s="94" t="s">
        <v>28</v>
      </c>
      <c r="E81" s="94">
        <v>12</v>
      </c>
      <c r="F81" s="94"/>
      <c r="G81" s="94"/>
      <c r="H81" s="95"/>
      <c r="I81" s="84" t="s">
        <v>180</v>
      </c>
    </row>
    <row r="82" spans="1:9" s="39" customFormat="1" ht="17.25" x14ac:dyDescent="0.35">
      <c r="A82" s="93"/>
      <c r="B82" s="94"/>
      <c r="C82" s="94"/>
      <c r="D82" s="94" t="s">
        <v>27</v>
      </c>
      <c r="E82" s="94">
        <v>1</v>
      </c>
      <c r="F82" s="94">
        <v>0</v>
      </c>
      <c r="G82" s="94"/>
      <c r="H82" s="95"/>
      <c r="I82" s="84" t="s">
        <v>181</v>
      </c>
    </row>
    <row r="83" spans="1:9" s="39" customFormat="1" ht="17.25" x14ac:dyDescent="0.35">
      <c r="A83" s="93"/>
      <c r="B83" s="94"/>
      <c r="C83" s="94"/>
      <c r="D83" s="94" t="s">
        <v>27</v>
      </c>
      <c r="E83" s="94">
        <v>1</v>
      </c>
      <c r="F83" s="94">
        <v>0</v>
      </c>
      <c r="G83" s="94"/>
      <c r="H83" s="95"/>
      <c r="I83" s="84" t="s">
        <v>182</v>
      </c>
    </row>
    <row r="84" spans="1:9" s="39" customFormat="1" ht="17.25" x14ac:dyDescent="0.35">
      <c r="A84" s="93"/>
      <c r="B84" s="94"/>
      <c r="C84" s="94"/>
      <c r="D84" s="94" t="s">
        <v>27</v>
      </c>
      <c r="E84" s="94">
        <v>1</v>
      </c>
      <c r="F84" s="94">
        <v>0</v>
      </c>
      <c r="G84" s="94"/>
      <c r="H84" s="95"/>
      <c r="I84" s="84" t="s">
        <v>183</v>
      </c>
    </row>
    <row r="85" spans="1:9" s="39" customFormat="1" ht="17.25" x14ac:dyDescent="0.35">
      <c r="A85" s="93"/>
      <c r="B85" s="94"/>
      <c r="C85" s="94"/>
      <c r="D85" s="94" t="s">
        <v>27</v>
      </c>
      <c r="E85" s="94">
        <v>1</v>
      </c>
      <c r="F85" s="94">
        <v>0</v>
      </c>
      <c r="G85" s="94"/>
      <c r="H85" s="95"/>
      <c r="I85" s="84" t="s">
        <v>184</v>
      </c>
    </row>
    <row r="86" spans="1:9" s="39" customFormat="1" ht="17.25" x14ac:dyDescent="0.35">
      <c r="A86" s="93"/>
      <c r="B86" s="94"/>
      <c r="C86" s="94"/>
      <c r="D86" s="94" t="s">
        <v>28</v>
      </c>
      <c r="E86" s="94">
        <v>32</v>
      </c>
      <c r="F86" s="94"/>
      <c r="G86" s="94"/>
      <c r="H86" s="95"/>
      <c r="I86" s="84" t="s">
        <v>185</v>
      </c>
    </row>
    <row r="87" spans="1:9" s="39" customFormat="1" ht="17.25" x14ac:dyDescent="0.35">
      <c r="A87" s="93"/>
      <c r="B87" s="94"/>
      <c r="C87" s="94"/>
      <c r="D87" s="94" t="s">
        <v>28</v>
      </c>
      <c r="E87" s="94">
        <v>12</v>
      </c>
      <c r="F87" s="94"/>
      <c r="G87" s="94"/>
      <c r="H87" s="95"/>
      <c r="I87" s="84" t="s">
        <v>186</v>
      </c>
    </row>
    <row r="88" spans="1:9" s="39" customFormat="1" ht="17.25" x14ac:dyDescent="0.35">
      <c r="A88" s="93"/>
      <c r="B88" s="94"/>
      <c r="C88" s="94"/>
      <c r="D88" s="94" t="s">
        <v>27</v>
      </c>
      <c r="E88" s="94">
        <v>1</v>
      </c>
      <c r="F88" s="94">
        <v>0</v>
      </c>
      <c r="G88" s="94"/>
      <c r="H88" s="95"/>
      <c r="I88" s="84" t="s">
        <v>187</v>
      </c>
    </row>
    <row r="89" spans="1:9" s="39" customFormat="1" ht="17.25" x14ac:dyDescent="0.35">
      <c r="A89" s="93"/>
      <c r="B89" s="94"/>
      <c r="C89" s="94"/>
      <c r="D89" s="94" t="s">
        <v>27</v>
      </c>
      <c r="E89" s="94">
        <v>1</v>
      </c>
      <c r="F89" s="94">
        <v>0</v>
      </c>
      <c r="G89" s="94"/>
      <c r="H89" s="95"/>
      <c r="I89" s="84" t="s">
        <v>188</v>
      </c>
    </row>
    <row r="90" spans="1:9" s="39" customFormat="1" ht="17.25" x14ac:dyDescent="0.35">
      <c r="A90" s="93"/>
      <c r="B90" s="94"/>
      <c r="C90" s="94"/>
      <c r="D90" s="94" t="s">
        <v>27</v>
      </c>
      <c r="E90" s="94">
        <v>1</v>
      </c>
      <c r="F90" s="94">
        <v>0</v>
      </c>
      <c r="G90" s="94"/>
      <c r="H90" s="95"/>
      <c r="I90" s="84" t="s">
        <v>189</v>
      </c>
    </row>
    <row r="91" spans="1:9" s="39" customFormat="1" ht="17.25" x14ac:dyDescent="0.35">
      <c r="A91" s="93"/>
      <c r="B91" s="94"/>
      <c r="C91" s="94"/>
      <c r="D91" s="94" t="s">
        <v>27</v>
      </c>
      <c r="E91" s="94">
        <v>1</v>
      </c>
      <c r="F91" s="94">
        <v>0</v>
      </c>
      <c r="G91" s="94"/>
      <c r="H91" s="95"/>
      <c r="I91" s="84" t="s">
        <v>190</v>
      </c>
    </row>
    <row r="92" spans="1:9" s="39" customFormat="1" ht="17.25" x14ac:dyDescent="0.35">
      <c r="A92" s="93"/>
      <c r="B92" s="94"/>
      <c r="C92" s="94"/>
      <c r="D92" s="94" t="s">
        <v>28</v>
      </c>
      <c r="E92" s="94">
        <v>32</v>
      </c>
      <c r="F92" s="94"/>
      <c r="G92" s="94"/>
      <c r="H92" s="95"/>
      <c r="I92" s="84" t="s">
        <v>191</v>
      </c>
    </row>
    <row r="93" spans="1:9" s="39" customFormat="1" ht="17.25" x14ac:dyDescent="0.35">
      <c r="A93" s="93"/>
      <c r="B93" s="94"/>
      <c r="C93" s="94"/>
      <c r="D93" s="94" t="s">
        <v>28</v>
      </c>
      <c r="E93" s="94">
        <v>12</v>
      </c>
      <c r="F93" s="94"/>
      <c r="G93" s="94"/>
      <c r="H93" s="95"/>
      <c r="I93" s="84" t="s">
        <v>192</v>
      </c>
    </row>
    <row r="94" spans="1:9" s="39" customFormat="1" ht="17.25" x14ac:dyDescent="0.35">
      <c r="A94" s="93"/>
      <c r="B94" s="94"/>
      <c r="C94" s="94"/>
      <c r="D94" s="94" t="s">
        <v>27</v>
      </c>
      <c r="E94" s="94">
        <v>1</v>
      </c>
      <c r="F94" s="94">
        <v>0</v>
      </c>
      <c r="G94" s="94"/>
      <c r="H94" s="95"/>
      <c r="I94" s="84" t="s">
        <v>193</v>
      </c>
    </row>
    <row r="95" spans="1:9" s="39" customFormat="1" ht="17.25" x14ac:dyDescent="0.35">
      <c r="A95" s="93"/>
      <c r="B95" s="94"/>
      <c r="C95" s="94"/>
      <c r="D95" s="94" t="s">
        <v>27</v>
      </c>
      <c r="E95" s="94">
        <v>1</v>
      </c>
      <c r="F95" s="94">
        <v>0</v>
      </c>
      <c r="G95" s="94"/>
      <c r="H95" s="95"/>
      <c r="I95" s="84" t="s">
        <v>194</v>
      </c>
    </row>
    <row r="96" spans="1:9" s="39" customFormat="1" ht="17.25" x14ac:dyDescent="0.35">
      <c r="A96" s="93"/>
      <c r="B96" s="94"/>
      <c r="C96" s="94"/>
      <c r="D96" s="94" t="s">
        <v>27</v>
      </c>
      <c r="E96" s="94">
        <v>1</v>
      </c>
      <c r="F96" s="94">
        <v>0</v>
      </c>
      <c r="G96" s="94"/>
      <c r="H96" s="95"/>
      <c r="I96" s="84" t="s">
        <v>195</v>
      </c>
    </row>
    <row r="97" spans="1:9" s="39" customFormat="1" ht="17.25" x14ac:dyDescent="0.35">
      <c r="A97" s="93"/>
      <c r="B97" s="94"/>
      <c r="C97" s="94"/>
      <c r="D97" s="94" t="s">
        <v>27</v>
      </c>
      <c r="E97" s="94">
        <v>1</v>
      </c>
      <c r="F97" s="94">
        <v>0</v>
      </c>
      <c r="G97" s="94"/>
      <c r="H97" s="95"/>
      <c r="I97" s="84" t="s">
        <v>196</v>
      </c>
    </row>
    <row r="98" spans="1:9" s="39" customFormat="1" ht="17.25" x14ac:dyDescent="0.35">
      <c r="A98" s="93"/>
      <c r="B98" s="94"/>
      <c r="C98" s="94"/>
      <c r="D98" s="94" t="s">
        <v>28</v>
      </c>
      <c r="E98" s="94">
        <v>32</v>
      </c>
      <c r="F98" s="94"/>
      <c r="G98" s="94"/>
      <c r="H98" s="95"/>
      <c r="I98" s="84" t="s">
        <v>197</v>
      </c>
    </row>
    <row r="99" spans="1:9" s="39" customFormat="1" ht="17.25" x14ac:dyDescent="0.35">
      <c r="A99" s="93"/>
      <c r="B99" s="94"/>
      <c r="C99" s="94"/>
      <c r="D99" s="94" t="s">
        <v>28</v>
      </c>
      <c r="E99" s="94">
        <v>12</v>
      </c>
      <c r="F99" s="94"/>
      <c r="G99" s="94"/>
      <c r="H99" s="95"/>
      <c r="I99" s="84" t="s">
        <v>198</v>
      </c>
    </row>
    <row r="100" spans="1:9" s="39" customFormat="1" ht="17.25" x14ac:dyDescent="0.35">
      <c r="A100" s="93"/>
      <c r="B100" s="94"/>
      <c r="C100" s="94"/>
      <c r="D100" s="94" t="s">
        <v>27</v>
      </c>
      <c r="E100" s="94">
        <v>1</v>
      </c>
      <c r="F100" s="94">
        <v>0</v>
      </c>
      <c r="G100" s="94"/>
      <c r="H100" s="95"/>
      <c r="I100" s="84" t="s">
        <v>199</v>
      </c>
    </row>
    <row r="101" spans="1:9" s="39" customFormat="1" ht="17.25" x14ac:dyDescent="0.35">
      <c r="A101" s="93"/>
      <c r="B101" s="94"/>
      <c r="C101" s="94"/>
      <c r="D101" s="94" t="s">
        <v>27</v>
      </c>
      <c r="E101" s="94">
        <v>1</v>
      </c>
      <c r="F101" s="94">
        <v>0</v>
      </c>
      <c r="G101" s="94"/>
      <c r="H101" s="95"/>
      <c r="I101" s="84" t="s">
        <v>200</v>
      </c>
    </row>
    <row r="102" spans="1:9" s="39" customFormat="1" ht="17.25" x14ac:dyDescent="0.35">
      <c r="A102" s="93"/>
      <c r="B102" s="94"/>
      <c r="C102" s="94"/>
      <c r="D102" s="94" t="s">
        <v>27</v>
      </c>
      <c r="E102" s="94">
        <v>1</v>
      </c>
      <c r="F102" s="94">
        <v>0</v>
      </c>
      <c r="G102" s="94"/>
      <c r="H102" s="95"/>
      <c r="I102" s="84" t="s">
        <v>201</v>
      </c>
    </row>
    <row r="103" spans="1:9" s="39" customFormat="1" ht="17.25" x14ac:dyDescent="0.35">
      <c r="A103" s="93"/>
      <c r="B103" s="94"/>
      <c r="C103" s="94"/>
      <c r="D103" s="94" t="s">
        <v>27</v>
      </c>
      <c r="E103" s="94">
        <v>1</v>
      </c>
      <c r="F103" s="94">
        <v>0</v>
      </c>
      <c r="G103" s="94"/>
      <c r="H103" s="95"/>
      <c r="I103" s="84" t="s">
        <v>202</v>
      </c>
    </row>
    <row r="104" spans="1:9" s="39" customFormat="1" ht="17.25" x14ac:dyDescent="0.35">
      <c r="A104" s="93"/>
      <c r="B104" s="94"/>
      <c r="C104" s="94"/>
      <c r="D104" s="94" t="s">
        <v>28</v>
      </c>
      <c r="E104" s="94">
        <v>32</v>
      </c>
      <c r="F104" s="94"/>
      <c r="G104" s="94"/>
      <c r="H104" s="95"/>
      <c r="I104" s="84" t="s">
        <v>203</v>
      </c>
    </row>
    <row r="105" spans="1:9" s="39" customFormat="1" ht="17.25" x14ac:dyDescent="0.35">
      <c r="A105" s="93"/>
      <c r="B105" s="94"/>
      <c r="C105" s="94"/>
      <c r="D105" s="94" t="s">
        <v>28</v>
      </c>
      <c r="E105" s="94">
        <v>12</v>
      </c>
      <c r="F105" s="94"/>
      <c r="G105" s="94"/>
      <c r="H105" s="95"/>
      <c r="I105" s="84" t="s">
        <v>204</v>
      </c>
    </row>
    <row r="106" spans="1:9" s="39" customFormat="1" ht="17.25" x14ac:dyDescent="0.35">
      <c r="A106" s="93"/>
      <c r="B106" s="94"/>
      <c r="C106" s="94"/>
      <c r="D106" s="94" t="s">
        <v>27</v>
      </c>
      <c r="E106" s="94">
        <v>1</v>
      </c>
      <c r="F106" s="94">
        <v>0</v>
      </c>
      <c r="G106" s="94"/>
      <c r="H106" s="95"/>
      <c r="I106" s="84" t="s">
        <v>205</v>
      </c>
    </row>
    <row r="107" spans="1:9" s="39" customFormat="1" ht="17.25" x14ac:dyDescent="0.35">
      <c r="A107" s="93"/>
      <c r="B107" s="94"/>
      <c r="C107" s="94"/>
      <c r="D107" s="94" t="s">
        <v>27</v>
      </c>
      <c r="E107" s="94">
        <v>1</v>
      </c>
      <c r="F107" s="94">
        <v>0</v>
      </c>
      <c r="G107" s="94"/>
      <c r="H107" s="95"/>
      <c r="I107" s="84" t="s">
        <v>206</v>
      </c>
    </row>
    <row r="108" spans="1:9" s="39" customFormat="1" ht="17.25" x14ac:dyDescent="0.35">
      <c r="A108" s="93"/>
      <c r="B108" s="94"/>
      <c r="C108" s="94"/>
      <c r="D108" s="94" t="s">
        <v>27</v>
      </c>
      <c r="E108" s="94">
        <v>1</v>
      </c>
      <c r="F108" s="94">
        <v>0</v>
      </c>
      <c r="G108" s="94"/>
      <c r="H108" s="95"/>
      <c r="I108" s="84" t="s">
        <v>207</v>
      </c>
    </row>
    <row r="109" spans="1:9" s="39" customFormat="1" ht="17.25" x14ac:dyDescent="0.35">
      <c r="A109" s="93"/>
      <c r="B109" s="94"/>
      <c r="C109" s="94"/>
      <c r="D109" s="94" t="s">
        <v>27</v>
      </c>
      <c r="E109" s="94">
        <v>1</v>
      </c>
      <c r="F109" s="94">
        <v>0</v>
      </c>
      <c r="G109" s="94"/>
      <c r="H109" s="95"/>
      <c r="I109" s="84" t="s">
        <v>208</v>
      </c>
    </row>
    <row r="110" spans="1:9" s="39" customFormat="1" ht="17.25" x14ac:dyDescent="0.35">
      <c r="A110" s="93"/>
      <c r="B110" s="94"/>
      <c r="C110" s="94"/>
      <c r="D110" s="94" t="s">
        <v>28</v>
      </c>
      <c r="E110" s="94">
        <v>32</v>
      </c>
      <c r="F110" s="94"/>
      <c r="G110" s="94"/>
      <c r="H110" s="95"/>
      <c r="I110" s="84" t="s">
        <v>209</v>
      </c>
    </row>
    <row r="111" spans="1:9" s="39" customFormat="1" ht="17.25" x14ac:dyDescent="0.35">
      <c r="A111" s="93"/>
      <c r="B111" s="94"/>
      <c r="C111" s="94"/>
      <c r="D111" s="94" t="s">
        <v>28</v>
      </c>
      <c r="E111" s="94">
        <v>12</v>
      </c>
      <c r="F111" s="94"/>
      <c r="G111" s="94"/>
      <c r="H111" s="95"/>
      <c r="I111" s="84" t="s">
        <v>210</v>
      </c>
    </row>
    <row r="112" spans="1:9" s="39" customFormat="1" ht="17.25" x14ac:dyDescent="0.35">
      <c r="A112" s="93"/>
      <c r="B112" s="94"/>
      <c r="C112" s="94"/>
      <c r="D112" s="94" t="s">
        <v>27</v>
      </c>
      <c r="E112" s="94">
        <v>1</v>
      </c>
      <c r="F112" s="94">
        <v>0</v>
      </c>
      <c r="G112" s="94"/>
      <c r="H112" s="95"/>
      <c r="I112" s="84" t="s">
        <v>211</v>
      </c>
    </row>
    <row r="113" spans="1:15" s="39" customFormat="1" ht="17.25" x14ac:dyDescent="0.35">
      <c r="A113" s="93"/>
      <c r="B113" s="94"/>
      <c r="C113" s="94"/>
      <c r="D113" s="94"/>
      <c r="E113" s="94"/>
      <c r="F113" s="94"/>
      <c r="G113" s="94"/>
      <c r="H113" s="95"/>
      <c r="I113" s="84"/>
    </row>
    <row r="114" spans="1:15" s="39" customFormat="1" ht="18" thickBot="1" x14ac:dyDescent="0.4">
      <c r="A114" s="96"/>
      <c r="B114" s="97"/>
      <c r="C114" s="97"/>
      <c r="D114" s="97"/>
      <c r="E114" s="97"/>
      <c r="F114" s="97"/>
      <c r="G114" s="97"/>
      <c r="H114" s="98"/>
      <c r="I114" s="85"/>
    </row>
    <row r="115" spans="1:15" s="87" customFormat="1" x14ac:dyDescent="0.2">
      <c r="A115" s="86"/>
      <c r="B115" s="86"/>
      <c r="C115" s="39"/>
      <c r="D115" s="39"/>
      <c r="E115" s="39"/>
      <c r="F115" s="88"/>
      <c r="G115" s="39"/>
      <c r="H115" s="89"/>
      <c r="I115" s="39"/>
      <c r="J115" s="39"/>
      <c r="K115" s="39"/>
      <c r="L115" s="39"/>
      <c r="M115" s="39"/>
      <c r="N115" s="39"/>
      <c r="O115" s="39"/>
    </row>
    <row r="116" spans="1:15" s="87" customFormat="1" ht="13.5" thickBot="1" x14ac:dyDescent="0.25">
      <c r="A116" s="39"/>
      <c r="B116" s="39"/>
      <c r="C116" s="39"/>
      <c r="D116" s="39"/>
      <c r="E116" s="39"/>
      <c r="F116" s="88"/>
      <c r="G116" s="39"/>
      <c r="H116" s="89"/>
      <c r="I116" s="39"/>
      <c r="J116" s="39"/>
      <c r="K116" s="39"/>
      <c r="L116" s="39"/>
      <c r="M116" s="39"/>
      <c r="N116" s="39"/>
      <c r="O116" s="39"/>
    </row>
    <row r="117" spans="1:15" s="87" customFormat="1" ht="20.25" thickBot="1" x14ac:dyDescent="0.45">
      <c r="A117" s="118" t="s">
        <v>45</v>
      </c>
      <c r="B117" s="119"/>
      <c r="C117" s="119"/>
      <c r="D117" s="119"/>
      <c r="E117" s="119"/>
      <c r="F117" s="119"/>
      <c r="G117" s="119"/>
      <c r="H117" s="120"/>
      <c r="I117" s="50"/>
      <c r="J117" s="39"/>
      <c r="K117" s="39"/>
      <c r="L117" s="39"/>
      <c r="M117" s="39"/>
      <c r="N117" s="39"/>
      <c r="O117" s="39"/>
    </row>
    <row r="118" spans="1:15" s="87" customFormat="1" ht="15.75" thickBot="1" x14ac:dyDescent="0.35">
      <c r="A118" s="122" t="s">
        <v>62</v>
      </c>
      <c r="B118" s="123"/>
      <c r="C118" s="123" t="s">
        <v>24</v>
      </c>
      <c r="D118" s="123" t="s">
        <v>63</v>
      </c>
      <c r="E118" s="123" t="s">
        <v>64</v>
      </c>
      <c r="F118" s="123" t="s">
        <v>65</v>
      </c>
      <c r="G118" s="123" t="s">
        <v>31</v>
      </c>
      <c r="H118" s="124"/>
      <c r="I118" s="50"/>
    </row>
    <row r="119" spans="1:15" s="21" customFormat="1" ht="17.25" x14ac:dyDescent="0.35">
      <c r="A119" s="131" t="s">
        <v>61</v>
      </c>
      <c r="B119" s="132"/>
      <c r="C119" s="133" t="s">
        <v>46</v>
      </c>
      <c r="D119" s="133"/>
      <c r="E119" s="133"/>
      <c r="F119" s="133"/>
      <c r="G119" s="133" t="s">
        <v>15</v>
      </c>
      <c r="H119" s="125"/>
      <c r="I119" s="50"/>
    </row>
    <row r="120" spans="1:15" s="21" customFormat="1" ht="17.25" x14ac:dyDescent="0.35">
      <c r="A120" s="134" t="s">
        <v>47</v>
      </c>
      <c r="B120" s="135"/>
      <c r="C120" s="136"/>
      <c r="D120" s="136" t="s">
        <v>27</v>
      </c>
      <c r="E120" s="136">
        <v>1</v>
      </c>
      <c r="F120" s="136">
        <v>0</v>
      </c>
      <c r="G120" s="136"/>
      <c r="H120" s="126"/>
      <c r="I120" s="50"/>
    </row>
    <row r="121" spans="1:15" s="21" customFormat="1" ht="17.25" x14ac:dyDescent="0.35">
      <c r="A121" s="134" t="s">
        <v>48</v>
      </c>
      <c r="B121" s="135"/>
      <c r="C121" s="136"/>
      <c r="D121" s="136" t="s">
        <v>27</v>
      </c>
      <c r="E121" s="136">
        <v>2</v>
      </c>
      <c r="F121" s="136">
        <v>2</v>
      </c>
      <c r="G121" s="136"/>
      <c r="H121" s="126"/>
      <c r="I121" s="50"/>
    </row>
    <row r="122" spans="1:15" s="21" customFormat="1" ht="17.25" x14ac:dyDescent="0.35">
      <c r="A122" s="134" t="s">
        <v>49</v>
      </c>
      <c r="B122" s="135"/>
      <c r="C122" s="136"/>
      <c r="D122" s="136" t="s">
        <v>27</v>
      </c>
      <c r="E122" s="136">
        <v>2</v>
      </c>
      <c r="F122" s="136" t="s">
        <v>66</v>
      </c>
      <c r="G122" s="136"/>
      <c r="H122" s="126"/>
      <c r="I122" s="50"/>
    </row>
    <row r="123" spans="1:15" s="21" customFormat="1" ht="17.25" x14ac:dyDescent="0.35">
      <c r="A123" s="134" t="s">
        <v>50</v>
      </c>
      <c r="B123" s="135"/>
      <c r="C123" s="136"/>
      <c r="D123" s="136" t="s">
        <v>27</v>
      </c>
      <c r="E123" s="136">
        <v>1</v>
      </c>
      <c r="F123" s="136" t="s">
        <v>4</v>
      </c>
      <c r="G123" s="136"/>
      <c r="H123" s="126"/>
      <c r="I123" s="50"/>
    </row>
    <row r="124" spans="1:15" s="21" customFormat="1" ht="17.25" x14ac:dyDescent="0.35">
      <c r="A124" s="134" t="s">
        <v>51</v>
      </c>
      <c r="B124" s="135"/>
      <c r="C124" s="136"/>
      <c r="D124" s="136" t="s">
        <v>27</v>
      </c>
      <c r="E124" s="136">
        <v>2</v>
      </c>
      <c r="F124" s="136">
        <v>4</v>
      </c>
      <c r="G124" s="136"/>
      <c r="H124" s="126"/>
      <c r="I124" s="50"/>
    </row>
    <row r="125" spans="1:15" s="22" customFormat="1" ht="17.25" x14ac:dyDescent="0.35">
      <c r="A125" s="137" t="s">
        <v>52</v>
      </c>
      <c r="B125" s="138"/>
      <c r="C125" s="139"/>
      <c r="D125" s="139" t="s">
        <v>27</v>
      </c>
      <c r="E125" s="139">
        <f>F124</f>
        <v>4</v>
      </c>
      <c r="F125" s="139" t="s">
        <v>229</v>
      </c>
      <c r="G125" s="139"/>
      <c r="H125" s="127"/>
      <c r="I125" s="50"/>
    </row>
    <row r="126" spans="1:15" s="21" customFormat="1" ht="17.25" x14ac:dyDescent="0.35">
      <c r="A126" s="134" t="s">
        <v>53</v>
      </c>
      <c r="B126" s="135"/>
      <c r="C126" s="136"/>
      <c r="D126" s="136" t="s">
        <v>27</v>
      </c>
      <c r="E126" s="136">
        <v>1</v>
      </c>
      <c r="F126" s="136" t="s">
        <v>5</v>
      </c>
      <c r="G126" s="136"/>
      <c r="H126" s="126"/>
      <c r="I126" s="50"/>
    </row>
    <row r="127" spans="1:15" s="21" customFormat="1" ht="17.25" x14ac:dyDescent="0.35">
      <c r="A127" s="134" t="s">
        <v>54</v>
      </c>
      <c r="B127" s="135"/>
      <c r="C127" s="136"/>
      <c r="D127" s="136" t="s">
        <v>27</v>
      </c>
      <c r="E127" s="136">
        <v>2</v>
      </c>
      <c r="F127" s="136">
        <f>LEN(F128)</f>
        <v>17</v>
      </c>
      <c r="G127" s="136"/>
      <c r="H127" s="126"/>
      <c r="I127" s="50"/>
    </row>
    <row r="128" spans="1:15" s="21" customFormat="1" ht="17.25" x14ac:dyDescent="0.35">
      <c r="A128" s="134" t="s">
        <v>55</v>
      </c>
      <c r="B128" s="135"/>
      <c r="C128" s="136"/>
      <c r="D128" s="136" t="s">
        <v>28</v>
      </c>
      <c r="E128" s="136">
        <f>F127</f>
        <v>17</v>
      </c>
      <c r="F128" s="136" t="s">
        <v>212</v>
      </c>
      <c r="G128" s="136"/>
      <c r="H128" s="126" t="s">
        <v>84</v>
      </c>
      <c r="I128" s="50"/>
    </row>
    <row r="129" spans="1:9" s="21" customFormat="1" ht="17.25" x14ac:dyDescent="0.35">
      <c r="A129" s="134" t="s">
        <v>56</v>
      </c>
      <c r="B129" s="135"/>
      <c r="C129" s="136"/>
      <c r="D129" s="136" t="s">
        <v>27</v>
      </c>
      <c r="E129" s="136">
        <v>1</v>
      </c>
      <c r="F129" s="136" t="s">
        <v>67</v>
      </c>
      <c r="G129" s="136"/>
      <c r="H129" s="126"/>
      <c r="I129" s="50"/>
    </row>
    <row r="130" spans="1:9" s="21" customFormat="1" ht="17.25" x14ac:dyDescent="0.35">
      <c r="A130" s="134" t="s">
        <v>57</v>
      </c>
      <c r="B130" s="135"/>
      <c r="C130" s="136"/>
      <c r="D130" s="136" t="s">
        <v>27</v>
      </c>
      <c r="E130" s="136">
        <v>2</v>
      </c>
      <c r="F130" s="136">
        <f>SUM(E131:E132)+F132*E133</f>
        <v>18</v>
      </c>
      <c r="G130" s="136"/>
      <c r="H130" s="126"/>
      <c r="I130" s="50"/>
    </row>
    <row r="131" spans="1:9" s="21" customFormat="1" ht="17.25" x14ac:dyDescent="0.35">
      <c r="A131" s="134" t="s">
        <v>58</v>
      </c>
      <c r="B131" s="135"/>
      <c r="C131" s="136"/>
      <c r="D131" s="136" t="s">
        <v>27</v>
      </c>
      <c r="E131" s="136">
        <v>1</v>
      </c>
      <c r="F131" s="136">
        <v>0</v>
      </c>
      <c r="G131" s="136"/>
      <c r="H131" s="126"/>
      <c r="I131" s="50"/>
    </row>
    <row r="132" spans="1:9" s="21" customFormat="1" ht="17.25" x14ac:dyDescent="0.35">
      <c r="A132" s="134" t="s">
        <v>59</v>
      </c>
      <c r="B132" s="135"/>
      <c r="C132" s="136"/>
      <c r="D132" s="136" t="s">
        <v>27</v>
      </c>
      <c r="E132" s="136">
        <v>1</v>
      </c>
      <c r="F132" s="136">
        <f>LEN(F133)-LEN(SUBSTITUTE(F133,",","")) +1</f>
        <v>4</v>
      </c>
      <c r="G132" s="136"/>
      <c r="H132" s="126"/>
      <c r="I132" s="50"/>
    </row>
    <row r="133" spans="1:9" s="21" customFormat="1" ht="25.5" x14ac:dyDescent="0.35">
      <c r="A133" s="134" t="s">
        <v>60</v>
      </c>
      <c r="B133" s="135"/>
      <c r="C133" s="136"/>
      <c r="D133" s="136" t="s">
        <v>34</v>
      </c>
      <c r="E133" s="136">
        <v>4</v>
      </c>
      <c r="F133" s="83" t="s">
        <v>213</v>
      </c>
      <c r="G133" s="136"/>
      <c r="H133" s="126"/>
      <c r="I133" s="50"/>
    </row>
    <row r="134" spans="1:9" s="21" customFormat="1" ht="17.25" x14ac:dyDescent="0.35">
      <c r="A134" s="140" t="s">
        <v>101</v>
      </c>
      <c r="B134" s="135"/>
      <c r="C134" s="136"/>
      <c r="D134" s="136" t="s">
        <v>27</v>
      </c>
      <c r="E134" s="136">
        <v>1</v>
      </c>
      <c r="F134" s="136" t="s">
        <v>102</v>
      </c>
      <c r="G134" s="136"/>
      <c r="H134" s="126"/>
      <c r="I134" s="50"/>
    </row>
    <row r="135" spans="1:9" s="21" customFormat="1" ht="17.25" x14ac:dyDescent="0.35">
      <c r="A135" s="140" t="s">
        <v>103</v>
      </c>
      <c r="B135" s="135"/>
      <c r="C135" s="136"/>
      <c r="D135" s="136" t="s">
        <v>27</v>
      </c>
      <c r="E135" s="136">
        <v>2</v>
      </c>
      <c r="F135" s="136">
        <v>4</v>
      </c>
      <c r="G135" s="136"/>
      <c r="H135" s="126"/>
      <c r="I135" s="50"/>
    </row>
    <row r="136" spans="1:9" s="22" customFormat="1" ht="17.25" x14ac:dyDescent="0.35">
      <c r="A136" s="137" t="s">
        <v>104</v>
      </c>
      <c r="B136" s="138"/>
      <c r="C136" s="139"/>
      <c r="D136" s="139" t="s">
        <v>27</v>
      </c>
      <c r="E136" s="139">
        <f>F135</f>
        <v>4</v>
      </c>
      <c r="F136" s="139" t="str">
        <f>$F$125</f>
        <v>0x05012105</v>
      </c>
      <c r="G136" s="139"/>
      <c r="H136" s="127"/>
      <c r="I136" s="50"/>
    </row>
    <row r="137" spans="1:9" ht="17.25" x14ac:dyDescent="0.35">
      <c r="A137" s="141" t="s">
        <v>231</v>
      </c>
      <c r="B137" s="142"/>
      <c r="C137" s="128"/>
      <c r="D137" s="128" t="s">
        <v>27</v>
      </c>
      <c r="E137" s="128">
        <v>1</v>
      </c>
      <c r="F137" s="128" t="s">
        <v>232</v>
      </c>
      <c r="G137" s="128"/>
      <c r="H137" s="143"/>
    </row>
    <row r="138" spans="1:9" ht="17.25" x14ac:dyDescent="0.35">
      <c r="A138" s="141" t="s">
        <v>233</v>
      </c>
      <c r="B138" s="142"/>
      <c r="C138" s="128"/>
      <c r="D138" s="128" t="s">
        <v>27</v>
      </c>
      <c r="E138" s="128">
        <v>2</v>
      </c>
      <c r="F138" s="144">
        <f>2+F140*E141*2</f>
        <v>6</v>
      </c>
      <c r="G138" s="128"/>
      <c r="H138" s="143"/>
    </row>
    <row r="139" spans="1:9" ht="17.25" x14ac:dyDescent="0.35">
      <c r="A139" s="141" t="s">
        <v>234</v>
      </c>
      <c r="B139" s="142"/>
      <c r="C139" s="128"/>
      <c r="D139" s="128" t="s">
        <v>27</v>
      </c>
      <c r="E139" s="128">
        <v>1</v>
      </c>
      <c r="F139" s="128">
        <v>0</v>
      </c>
      <c r="G139" s="128"/>
      <c r="H139" s="143" t="s">
        <v>235</v>
      </c>
    </row>
    <row r="140" spans="1:9" ht="17.25" x14ac:dyDescent="0.35">
      <c r="A140" s="141" t="s">
        <v>236</v>
      </c>
      <c r="B140" s="142"/>
      <c r="C140" s="128"/>
      <c r="D140" s="128" t="s">
        <v>27</v>
      </c>
      <c r="E140" s="128">
        <v>1</v>
      </c>
      <c r="F140" s="144">
        <f>SUM(LEN(F141)-LEN(SUBSTITUTE(F141,"-","")))</f>
        <v>1</v>
      </c>
      <c r="G140" s="128"/>
      <c r="H140" s="143" t="s">
        <v>237</v>
      </c>
    </row>
    <row r="141" spans="1:9" ht="17.25" x14ac:dyDescent="0.35">
      <c r="A141" s="141" t="s">
        <v>238</v>
      </c>
      <c r="B141" s="142"/>
      <c r="C141" s="128"/>
      <c r="D141" s="128" t="s">
        <v>34</v>
      </c>
      <c r="E141" s="128">
        <v>2</v>
      </c>
      <c r="F141" s="128" t="s">
        <v>239</v>
      </c>
      <c r="G141" s="128"/>
      <c r="H141" s="143"/>
    </row>
    <row r="142" spans="1:9" ht="17.25" x14ac:dyDescent="0.35">
      <c r="A142" s="145" t="s">
        <v>223</v>
      </c>
      <c r="B142" s="146"/>
      <c r="C142" s="147"/>
      <c r="D142" s="147" t="s">
        <v>27</v>
      </c>
      <c r="E142" s="147">
        <v>1</v>
      </c>
      <c r="F142" s="121" t="s">
        <v>224</v>
      </c>
      <c r="G142" s="147"/>
      <c r="H142" s="129"/>
    </row>
    <row r="143" spans="1:9" ht="17.25" x14ac:dyDescent="0.35">
      <c r="A143" s="145" t="s">
        <v>225</v>
      </c>
      <c r="B143" s="146"/>
      <c r="C143" s="147"/>
      <c r="D143" s="147" t="s">
        <v>27</v>
      </c>
      <c r="E143" s="147">
        <v>2</v>
      </c>
      <c r="F143" s="121">
        <v>4</v>
      </c>
      <c r="G143" s="147"/>
      <c r="H143" s="129"/>
    </row>
    <row r="144" spans="1:9" ht="138.75" thickBot="1" x14ac:dyDescent="0.4">
      <c r="A144" s="148" t="s">
        <v>226</v>
      </c>
      <c r="B144" s="149"/>
      <c r="C144" s="150"/>
      <c r="D144" s="150" t="s">
        <v>27</v>
      </c>
      <c r="E144" s="150">
        <v>4</v>
      </c>
      <c r="F144" s="151" t="s">
        <v>227</v>
      </c>
      <c r="G144" s="150"/>
      <c r="H144" s="130" t="s">
        <v>228</v>
      </c>
    </row>
  </sheetData>
  <mergeCells count="3">
    <mergeCell ref="A2:I2"/>
    <mergeCell ref="A4:H4"/>
    <mergeCell ref="A117:H117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2:I47"/>
  <sheetViews>
    <sheetView zoomScale="80" zoomScaleNormal="80" workbookViewId="0">
      <selection activeCell="C13" sqref="C13:F13"/>
    </sheetView>
  </sheetViews>
  <sheetFormatPr defaultColWidth="9.140625" defaultRowHeight="12.75" x14ac:dyDescent="0.2"/>
  <cols>
    <col min="1" max="1" width="2.85546875" style="24" customWidth="1"/>
    <col min="2" max="2" width="11.7109375" style="24" customWidth="1"/>
    <col min="3" max="3" width="12.85546875" style="19" bestFit="1" customWidth="1"/>
    <col min="4" max="4" width="56.28515625" style="19" bestFit="1" customWidth="1"/>
    <col min="5" max="5" width="20.5703125" style="19" customWidth="1"/>
    <col min="6" max="6" width="57.7109375" style="19" customWidth="1"/>
    <col min="7" max="7" width="53.28515625" style="19" customWidth="1"/>
    <col min="8" max="8" width="9.140625" style="24" customWidth="1"/>
    <col min="9" max="11" width="9.140625" style="24"/>
    <col min="12" max="12" width="10.85546875" style="24" bestFit="1" customWidth="1"/>
    <col min="13" max="16384" width="9.140625" style="24"/>
  </cols>
  <sheetData>
    <row r="2" spans="1:9" s="23" customFormat="1" ht="45" customHeight="1" x14ac:dyDescent="0.55000000000000004">
      <c r="B2" s="49" t="s">
        <v>22</v>
      </c>
      <c r="C2" s="49"/>
      <c r="D2" s="49"/>
      <c r="E2" s="49"/>
      <c r="F2" s="49"/>
      <c r="G2" s="49"/>
    </row>
    <row r="3" spans="1:9" ht="13.5" thickBot="1" x14ac:dyDescent="0.25"/>
    <row r="4" spans="1:9" ht="15.75" thickBot="1" x14ac:dyDescent="0.35">
      <c r="D4" s="78" t="s">
        <v>93</v>
      </c>
      <c r="E4" s="78"/>
    </row>
    <row r="5" spans="1:9" x14ac:dyDescent="0.2">
      <c r="D5" s="24" t="s">
        <v>94</v>
      </c>
      <c r="E5" s="19">
        <v>1</v>
      </c>
    </row>
    <row r="6" spans="1:9" x14ac:dyDescent="0.2">
      <c r="D6" s="24" t="s">
        <v>95</v>
      </c>
      <c r="E6" s="19">
        <v>35</v>
      </c>
    </row>
    <row r="7" spans="1:9" ht="13.5" thickBot="1" x14ac:dyDescent="0.25"/>
    <row r="8" spans="1:9" s="25" customFormat="1" ht="15.75" thickBot="1" x14ac:dyDescent="0.35">
      <c r="B8" s="26" t="s">
        <v>23</v>
      </c>
      <c r="C8" s="32" t="s">
        <v>19</v>
      </c>
      <c r="D8" s="32" t="s">
        <v>20</v>
      </c>
      <c r="E8" s="32" t="s">
        <v>21</v>
      </c>
      <c r="F8" s="35" t="s">
        <v>3</v>
      </c>
      <c r="G8" s="34" t="s">
        <v>87</v>
      </c>
    </row>
    <row r="9" spans="1:9" s="51" customFormat="1" ht="15" x14ac:dyDescent="0.3">
      <c r="B9" s="52"/>
      <c r="C9" s="53"/>
      <c r="D9" s="56"/>
      <c r="E9" s="40"/>
      <c r="F9" s="55"/>
      <c r="G9" s="54"/>
    </row>
    <row r="10" spans="1:9" s="51" customFormat="1" ht="15" x14ac:dyDescent="0.3">
      <c r="B10" s="52">
        <v>1</v>
      </c>
      <c r="C10" s="53">
        <v>41985</v>
      </c>
      <c r="D10" s="56" t="s">
        <v>214</v>
      </c>
      <c r="E10" s="40">
        <v>755547</v>
      </c>
      <c r="F10" s="55"/>
      <c r="G10" s="54" t="s">
        <v>215</v>
      </c>
    </row>
    <row r="11" spans="1:9" s="51" customFormat="1" ht="15" x14ac:dyDescent="0.3">
      <c r="B11" s="52">
        <v>2</v>
      </c>
      <c r="C11" s="53">
        <v>42356</v>
      </c>
      <c r="D11" s="56" t="s">
        <v>217</v>
      </c>
      <c r="E11" s="40">
        <v>926461</v>
      </c>
      <c r="F11" s="55" t="s">
        <v>218</v>
      </c>
      <c r="G11" s="54" t="s">
        <v>219</v>
      </c>
    </row>
    <row r="12" spans="1:9" s="51" customFormat="1" ht="15" x14ac:dyDescent="0.3">
      <c r="B12" s="52">
        <v>3</v>
      </c>
      <c r="C12" s="53">
        <v>42424</v>
      </c>
      <c r="D12" s="56" t="s">
        <v>221</v>
      </c>
      <c r="E12" s="40">
        <v>973486</v>
      </c>
      <c r="F12" s="55" t="s">
        <v>222</v>
      </c>
      <c r="G12" s="54" t="s">
        <v>220</v>
      </c>
    </row>
    <row r="13" spans="1:9" s="27" customFormat="1" ht="27" x14ac:dyDescent="0.3">
      <c r="B13" s="29">
        <v>4</v>
      </c>
      <c r="C13" s="43">
        <v>42496</v>
      </c>
      <c r="D13" s="44" t="s">
        <v>217</v>
      </c>
      <c r="E13" s="19">
        <v>923682</v>
      </c>
      <c r="F13" s="20" t="s">
        <v>230</v>
      </c>
      <c r="G13" s="19"/>
    </row>
    <row r="14" spans="1:9" ht="15" x14ac:dyDescent="0.3">
      <c r="A14" s="27"/>
      <c r="B14" s="29"/>
      <c r="C14" s="42"/>
      <c r="D14" s="41"/>
      <c r="E14" s="41"/>
      <c r="H14" s="27"/>
      <c r="I14" s="27"/>
    </row>
    <row r="16" spans="1:9" x14ac:dyDescent="0.2">
      <c r="B16" s="28"/>
      <c r="C16" s="43"/>
      <c r="D16" s="44"/>
    </row>
    <row r="17" spans="2:7" x14ac:dyDescent="0.2">
      <c r="B17" s="28"/>
      <c r="C17" s="43"/>
      <c r="D17" s="44"/>
    </row>
    <row r="18" spans="2:7" x14ac:dyDescent="0.2">
      <c r="B18" s="28"/>
      <c r="C18" s="43"/>
      <c r="D18" s="44"/>
      <c r="F18" s="24"/>
      <c r="G18" s="24"/>
    </row>
    <row r="19" spans="2:7" x14ac:dyDescent="0.2">
      <c r="B19" s="28"/>
      <c r="C19" s="43"/>
      <c r="D19" s="44"/>
      <c r="F19" s="24"/>
      <c r="G19" s="24"/>
    </row>
    <row r="20" spans="2:7" x14ac:dyDescent="0.2">
      <c r="B20" s="28"/>
      <c r="C20" s="43"/>
      <c r="D20" s="44"/>
      <c r="E20" s="24"/>
      <c r="F20" s="24"/>
      <c r="G20" s="24"/>
    </row>
    <row r="21" spans="2:7" x14ac:dyDescent="0.2">
      <c r="B21" s="28"/>
      <c r="C21" s="43"/>
      <c r="D21" s="45"/>
      <c r="E21" s="24"/>
      <c r="F21" s="24"/>
      <c r="G21" s="24"/>
    </row>
    <row r="22" spans="2:7" x14ac:dyDescent="0.2">
      <c r="B22" s="28"/>
      <c r="C22" s="43"/>
      <c r="D22" s="44"/>
      <c r="E22" s="24"/>
      <c r="F22" s="24"/>
      <c r="G22" s="24"/>
    </row>
    <row r="23" spans="2:7" x14ac:dyDescent="0.2">
      <c r="B23" s="28"/>
      <c r="C23" s="43"/>
      <c r="D23" s="44"/>
      <c r="E23" s="24"/>
      <c r="F23" s="24"/>
      <c r="G23" s="24"/>
    </row>
    <row r="24" spans="2:7" x14ac:dyDescent="0.2">
      <c r="B24" s="28"/>
      <c r="C24" s="43"/>
      <c r="D24" s="44"/>
      <c r="E24" s="24"/>
      <c r="F24" s="24"/>
      <c r="G24" s="24"/>
    </row>
    <row r="25" spans="2:7" x14ac:dyDescent="0.2">
      <c r="B25" s="28"/>
      <c r="C25" s="43"/>
      <c r="D25" s="44"/>
      <c r="E25" s="24"/>
      <c r="F25" s="24"/>
      <c r="G25" s="24"/>
    </row>
    <row r="26" spans="2:7" x14ac:dyDescent="0.2">
      <c r="B26" s="28"/>
      <c r="C26" s="43"/>
      <c r="D26" s="44"/>
      <c r="E26" s="24"/>
      <c r="F26" s="24"/>
      <c r="G26" s="24"/>
    </row>
    <row r="27" spans="2:7" x14ac:dyDescent="0.2">
      <c r="B27" s="28"/>
      <c r="C27" s="43"/>
      <c r="D27" s="44"/>
      <c r="E27" s="24"/>
      <c r="F27" s="24"/>
      <c r="G27" s="24"/>
    </row>
    <row r="28" spans="2:7" x14ac:dyDescent="0.2">
      <c r="B28" s="28"/>
      <c r="C28" s="43"/>
      <c r="D28" s="44"/>
      <c r="E28" s="24"/>
      <c r="F28" s="24"/>
      <c r="G28" s="24"/>
    </row>
    <row r="29" spans="2:7" x14ac:dyDescent="0.2">
      <c r="B29" s="28"/>
      <c r="C29" s="43"/>
      <c r="D29" s="44"/>
      <c r="E29" s="24"/>
      <c r="F29" s="24"/>
      <c r="G29" s="24"/>
    </row>
    <row r="30" spans="2:7" x14ac:dyDescent="0.2">
      <c r="B30" s="28"/>
      <c r="C30" s="43"/>
      <c r="D30" s="44"/>
      <c r="E30" s="24"/>
      <c r="F30" s="24"/>
      <c r="G30" s="24"/>
    </row>
    <row r="31" spans="2:7" ht="15" x14ac:dyDescent="0.3">
      <c r="B31" s="28"/>
      <c r="C31" s="46"/>
      <c r="D31" s="47"/>
      <c r="E31" s="24"/>
      <c r="F31" s="24"/>
      <c r="G31" s="24"/>
    </row>
    <row r="32" spans="2:7" x14ac:dyDescent="0.2">
      <c r="B32" s="28"/>
      <c r="C32" s="46"/>
      <c r="D32" s="45"/>
      <c r="E32" s="24"/>
      <c r="F32" s="24"/>
      <c r="G32" s="24"/>
    </row>
    <row r="33" spans="2:7" x14ac:dyDescent="0.2">
      <c r="B33" s="28"/>
      <c r="C33" s="43"/>
      <c r="D33" s="45"/>
      <c r="E33" s="24"/>
      <c r="F33" s="24"/>
      <c r="G33" s="24"/>
    </row>
    <row r="34" spans="2:7" x14ac:dyDescent="0.2">
      <c r="B34" s="28"/>
      <c r="C34" s="43"/>
      <c r="D34" s="44"/>
      <c r="E34" s="24"/>
      <c r="F34" s="24"/>
      <c r="G34" s="24"/>
    </row>
    <row r="35" spans="2:7" x14ac:dyDescent="0.2">
      <c r="B35" s="28"/>
      <c r="C35" s="43"/>
      <c r="D35" s="44"/>
      <c r="E35" s="24"/>
      <c r="F35" s="24"/>
      <c r="G35" s="24"/>
    </row>
    <row r="36" spans="2:7" x14ac:dyDescent="0.2">
      <c r="B36" s="28"/>
      <c r="C36" s="43"/>
      <c r="D36" s="44"/>
      <c r="E36" s="24"/>
      <c r="F36" s="24"/>
      <c r="G36" s="24"/>
    </row>
    <row r="37" spans="2:7" x14ac:dyDescent="0.2">
      <c r="B37" s="28"/>
      <c r="C37" s="43"/>
      <c r="D37" s="44"/>
      <c r="E37" s="24"/>
      <c r="F37" s="24"/>
      <c r="G37" s="24"/>
    </row>
    <row r="38" spans="2:7" x14ac:dyDescent="0.2">
      <c r="B38" s="28"/>
      <c r="D38" s="44"/>
      <c r="E38" s="24"/>
      <c r="F38" s="24"/>
      <c r="G38" s="24"/>
    </row>
    <row r="39" spans="2:7" x14ac:dyDescent="0.2">
      <c r="B39" s="28"/>
      <c r="D39" s="44"/>
      <c r="E39" s="24"/>
      <c r="F39" s="24"/>
      <c r="G39" s="24"/>
    </row>
    <row r="40" spans="2:7" x14ac:dyDescent="0.2">
      <c r="B40" s="28"/>
      <c r="D40" s="44"/>
      <c r="E40" s="24"/>
      <c r="F40" s="24"/>
      <c r="G40" s="24"/>
    </row>
    <row r="41" spans="2:7" x14ac:dyDescent="0.2">
      <c r="B41" s="28"/>
      <c r="D41" s="44"/>
      <c r="E41" s="24"/>
      <c r="F41" s="24"/>
      <c r="G41" s="24"/>
    </row>
    <row r="42" spans="2:7" x14ac:dyDescent="0.2">
      <c r="B42" s="28"/>
      <c r="E42" s="24"/>
      <c r="F42" s="24"/>
      <c r="G42" s="24"/>
    </row>
    <row r="43" spans="2:7" x14ac:dyDescent="0.2">
      <c r="B43" s="28"/>
      <c r="E43" s="24"/>
      <c r="F43" s="24"/>
      <c r="G43" s="24"/>
    </row>
    <row r="44" spans="2:7" x14ac:dyDescent="0.2">
      <c r="B44" s="28"/>
      <c r="E44" s="24"/>
      <c r="F44" s="24"/>
      <c r="G44" s="24"/>
    </row>
    <row r="45" spans="2:7" x14ac:dyDescent="0.2">
      <c r="B45" s="28"/>
      <c r="E45" s="24"/>
      <c r="F45" s="24"/>
      <c r="G45" s="24"/>
    </row>
    <row r="46" spans="2:7" x14ac:dyDescent="0.2">
      <c r="B46" s="28"/>
      <c r="E46" s="24"/>
      <c r="F46" s="24"/>
      <c r="G46" s="24"/>
    </row>
    <row r="47" spans="2:7" x14ac:dyDescent="0.2">
      <c r="B47" s="28"/>
      <c r="E47" s="24"/>
      <c r="F47" s="24"/>
      <c r="G47" s="2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Commercial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Qualcomm User</cp:lastModifiedBy>
  <dcterms:created xsi:type="dcterms:W3CDTF">2009-07-08T16:51:53Z</dcterms:created>
  <dcterms:modified xsi:type="dcterms:W3CDTF">2016-07-15T11:53:13Z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